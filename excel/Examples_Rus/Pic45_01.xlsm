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ЭтаКнига" defaultThemeVersion="123820"/>
  <mc:AlternateContent xmlns:mc="http://schemas.openxmlformats.org/markup-compatibility/2006">
    <mc:Choice Requires="x15">
      <x15ac:absPath xmlns:x15ac="http://schemas.microsoft.com/office/spreadsheetml/2010/11/ac" url="W:\"/>
    </mc:Choice>
  </mc:AlternateContent>
  <xr:revisionPtr revIDLastSave="0" documentId="13_ncr:1_{5DF4BF43-6BF9-4C96-82EA-6955E2062333}" xr6:coauthVersionLast="41" xr6:coauthVersionMax="41" xr10:uidLastSave="{00000000-0000-0000-0000-000000000000}"/>
  <bookViews>
    <workbookView xWindow="-120" yWindow="-120" windowWidth="19440" windowHeight="15000" xr2:uid="{00000000-000D-0000-FFFF-FFFF00000000}"/>
  </bookViews>
  <sheets>
    <sheet name="Параметры" sheetId="1" r:id="rId1"/>
    <sheet name="Выплаты" sheetId="2" r:id="rId2"/>
  </sheets>
  <calcPr calcId="191029"/>
  <webPublishing codePage="1252"/>
</workbook>
</file>

<file path=xl/calcChain.xml><?xml version="1.0" encoding="utf-8"?>
<calcChain xmlns="http://schemas.openxmlformats.org/spreadsheetml/2006/main">
  <c r="H16" i="1" l="1"/>
  <c r="H7" i="1" s="1"/>
  <c r="C7" i="2"/>
  <c r="C6" i="2"/>
  <c r="B11" i="2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C1" i="2"/>
  <c r="H11" i="1"/>
  <c r="C5" i="2" s="1"/>
  <c r="H4" i="1"/>
  <c r="C4" i="2" s="1"/>
  <c r="E15" i="1"/>
  <c r="C2" i="2" l="1"/>
  <c r="E17" i="1"/>
  <c r="C3" i="2"/>
  <c r="E13" i="1"/>
  <c r="A10" i="2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E10" i="2"/>
  <c r="C71" i="2"/>
  <c r="C72" i="2"/>
  <c r="C73" i="2"/>
  <c r="C74" i="2"/>
  <c r="C75" i="2"/>
  <c r="C76" i="2"/>
  <c r="C77" i="2"/>
  <c r="C78" i="2"/>
  <c r="C79" i="2"/>
  <c r="C80" i="2"/>
  <c r="C81" i="2"/>
  <c r="C176" i="2" l="1"/>
  <c r="C180" i="2"/>
  <c r="C182" i="2"/>
  <c r="C184" i="2"/>
  <c r="C186" i="2"/>
  <c r="C188" i="2"/>
  <c r="C190" i="2"/>
  <c r="C192" i="2"/>
  <c r="C194" i="2"/>
  <c r="C196" i="2"/>
  <c r="C198" i="2"/>
  <c r="C200" i="2"/>
  <c r="C202" i="2"/>
  <c r="C204" i="2"/>
  <c r="C206" i="2"/>
  <c r="C208" i="2"/>
  <c r="C210" i="2"/>
  <c r="C212" i="2"/>
  <c r="C214" i="2"/>
  <c r="C216" i="2"/>
  <c r="C218" i="2"/>
  <c r="C220" i="2"/>
  <c r="C222" i="2"/>
  <c r="C224" i="2"/>
  <c r="C226" i="2"/>
  <c r="C228" i="2"/>
  <c r="C230" i="2"/>
  <c r="C232" i="2"/>
  <c r="C234" i="2"/>
  <c r="C236" i="2"/>
  <c r="C238" i="2"/>
  <c r="C240" i="2"/>
  <c r="C242" i="2"/>
  <c r="C244" i="2"/>
  <c r="C246" i="2"/>
  <c r="C248" i="2"/>
  <c r="C250" i="2"/>
  <c r="C252" i="2"/>
  <c r="C254" i="2"/>
  <c r="C256" i="2"/>
  <c r="C258" i="2"/>
  <c r="C260" i="2"/>
  <c r="C262" i="2"/>
  <c r="C264" i="2"/>
  <c r="C266" i="2"/>
  <c r="C267" i="2"/>
  <c r="C269" i="2"/>
  <c r="C271" i="2"/>
  <c r="C273" i="2"/>
  <c r="C275" i="2"/>
  <c r="C277" i="2"/>
  <c r="C279" i="2"/>
  <c r="C281" i="2"/>
  <c r="C283" i="2"/>
  <c r="C285" i="2"/>
  <c r="C287" i="2"/>
  <c r="C289" i="2"/>
  <c r="C291" i="2"/>
  <c r="C293" i="2"/>
  <c r="C295" i="2"/>
  <c r="C297" i="2"/>
  <c r="C299" i="2"/>
  <c r="C301" i="2"/>
  <c r="C303" i="2"/>
  <c r="C305" i="2"/>
  <c r="C307" i="2"/>
  <c r="C309" i="2"/>
  <c r="C310" i="2"/>
  <c r="C312" i="2"/>
  <c r="C314" i="2"/>
  <c r="C316" i="2"/>
  <c r="C318" i="2"/>
  <c r="C320" i="2"/>
  <c r="C322" i="2"/>
  <c r="C324" i="2"/>
  <c r="C326" i="2"/>
  <c r="C328" i="2"/>
  <c r="C330" i="2"/>
  <c r="C332" i="2"/>
  <c r="C334" i="2"/>
  <c r="C336" i="2"/>
  <c r="C338" i="2"/>
  <c r="C340" i="2"/>
  <c r="C342" i="2"/>
  <c r="C344" i="2"/>
  <c r="C346" i="2"/>
  <c r="C348" i="2"/>
  <c r="C350" i="2"/>
  <c r="C352" i="2"/>
  <c r="C354" i="2"/>
  <c r="C356" i="2"/>
  <c r="C358" i="2"/>
  <c r="C360" i="2"/>
  <c r="C362" i="2"/>
  <c r="C364" i="2"/>
  <c r="C366" i="2"/>
  <c r="C368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C178" i="2"/>
  <c r="C179" i="2"/>
  <c r="C181" i="2"/>
  <c r="C183" i="2"/>
  <c r="C185" i="2"/>
  <c r="C187" i="2"/>
  <c r="C189" i="2"/>
  <c r="C191" i="2"/>
  <c r="C193" i="2"/>
  <c r="C195" i="2"/>
  <c r="C197" i="2"/>
  <c r="C199" i="2"/>
  <c r="C201" i="2"/>
  <c r="C203" i="2"/>
  <c r="C205" i="2"/>
  <c r="C207" i="2"/>
  <c r="C209" i="2"/>
  <c r="C211" i="2"/>
  <c r="C213" i="2"/>
  <c r="C215" i="2"/>
  <c r="C217" i="2"/>
  <c r="C219" i="2"/>
  <c r="C221" i="2"/>
  <c r="C223" i="2"/>
  <c r="C225" i="2"/>
  <c r="C227" i="2"/>
  <c r="C229" i="2"/>
  <c r="C231" i="2"/>
  <c r="C233" i="2"/>
  <c r="C235" i="2"/>
  <c r="C237" i="2"/>
  <c r="C239" i="2"/>
  <c r="C241" i="2"/>
  <c r="C243" i="2"/>
  <c r="C245" i="2"/>
  <c r="C247" i="2"/>
  <c r="C249" i="2"/>
  <c r="C251" i="2"/>
  <c r="C253" i="2"/>
  <c r="C255" i="2"/>
  <c r="C257" i="2"/>
  <c r="C259" i="2"/>
  <c r="C261" i="2"/>
  <c r="C263" i="2"/>
  <c r="C265" i="2"/>
  <c r="C268" i="2"/>
  <c r="C270" i="2"/>
  <c r="C272" i="2"/>
  <c r="C274" i="2"/>
  <c r="C276" i="2"/>
  <c r="C278" i="2"/>
  <c r="C280" i="2"/>
  <c r="C282" i="2"/>
  <c r="C284" i="2"/>
  <c r="C286" i="2"/>
  <c r="C288" i="2"/>
  <c r="C290" i="2"/>
  <c r="C292" i="2"/>
  <c r="C294" i="2"/>
  <c r="C296" i="2"/>
  <c r="C298" i="2"/>
  <c r="C300" i="2"/>
  <c r="C302" i="2"/>
  <c r="C304" i="2"/>
  <c r="C306" i="2"/>
  <c r="C308" i="2"/>
  <c r="C311" i="2"/>
  <c r="C313" i="2"/>
  <c r="C315" i="2"/>
  <c r="C317" i="2"/>
  <c r="C319" i="2"/>
  <c r="C321" i="2"/>
  <c r="C323" i="2"/>
  <c r="C325" i="2"/>
  <c r="C327" i="2"/>
  <c r="C329" i="2"/>
  <c r="C331" i="2"/>
  <c r="C333" i="2"/>
  <c r="C335" i="2"/>
  <c r="C337" i="2"/>
  <c r="C339" i="2"/>
  <c r="C341" i="2"/>
  <c r="C343" i="2"/>
  <c r="C345" i="2"/>
  <c r="C347" i="2"/>
  <c r="C349" i="2"/>
  <c r="C351" i="2"/>
  <c r="C353" i="2"/>
  <c r="C355" i="2"/>
  <c r="C357" i="2"/>
  <c r="C359" i="2"/>
  <c r="C361" i="2"/>
  <c r="C363" i="2"/>
  <c r="C365" i="2"/>
  <c r="C367" i="2"/>
  <c r="C369" i="2"/>
  <c r="D10" i="2"/>
  <c r="F10" i="2" s="1"/>
  <c r="E11" i="2" l="1"/>
  <c r="D11" i="2" s="1"/>
  <c r="F11" i="2" s="1"/>
  <c r="E12" i="2" l="1"/>
  <c r="D12" i="2" s="1"/>
  <c r="F12" i="2" s="1"/>
  <c r="E13" i="2" l="1"/>
  <c r="D13" i="2" s="1"/>
  <c r="F13" i="2" s="1"/>
  <c r="E14" i="2" l="1"/>
  <c r="D14" i="2" s="1"/>
  <c r="F14" i="2" s="1"/>
  <c r="E15" i="2" l="1"/>
  <c r="D15" i="2" s="1"/>
  <c r="F15" i="2" s="1"/>
  <c r="E16" i="2" l="1"/>
  <c r="D16" i="2" s="1"/>
  <c r="F16" i="2" s="1"/>
  <c r="E17" i="2" l="1"/>
  <c r="D17" i="2" s="1"/>
  <c r="F17" i="2" s="1"/>
  <c r="E18" i="2" l="1"/>
  <c r="D18" i="2" s="1"/>
  <c r="F18" i="2" s="1"/>
  <c r="E19" i="2" l="1"/>
  <c r="D19" i="2" s="1"/>
  <c r="F19" i="2" s="1"/>
  <c r="E20" i="2" l="1"/>
  <c r="D20" i="2" s="1"/>
  <c r="F20" i="2" s="1"/>
  <c r="E21" i="2" l="1"/>
  <c r="D21" i="2" s="1"/>
  <c r="F21" i="2" s="1"/>
  <c r="E22" i="2" l="1"/>
  <c r="D22" i="2" s="1"/>
  <c r="F22" i="2" s="1"/>
  <c r="E23" i="2" l="1"/>
  <c r="D23" i="2" s="1"/>
  <c r="F23" i="2" s="1"/>
  <c r="E24" i="2" l="1"/>
  <c r="D24" i="2" s="1"/>
  <c r="F24" i="2" s="1"/>
  <c r="E25" i="2" l="1"/>
  <c r="D25" i="2" s="1"/>
  <c r="F25" i="2" s="1"/>
  <c r="E26" i="2" l="1"/>
  <c r="D26" i="2" s="1"/>
  <c r="F26" i="2" s="1"/>
  <c r="E27" i="2" l="1"/>
  <c r="D27" i="2" s="1"/>
  <c r="F27" i="2" s="1"/>
  <c r="E28" i="2" l="1"/>
  <c r="D28" i="2" s="1"/>
  <c r="F28" i="2" s="1"/>
  <c r="E29" i="2" l="1"/>
  <c r="D29" i="2" s="1"/>
  <c r="F29" i="2" s="1"/>
  <c r="E30" i="2" l="1"/>
  <c r="D30" i="2" s="1"/>
  <c r="F30" i="2" s="1"/>
  <c r="E31" i="2" l="1"/>
  <c r="D31" i="2" s="1"/>
  <c r="F31" i="2" s="1"/>
  <c r="E32" i="2" l="1"/>
  <c r="D32" i="2" s="1"/>
  <c r="F32" i="2" s="1"/>
  <c r="E33" i="2" l="1"/>
  <c r="D33" i="2" s="1"/>
  <c r="F33" i="2" s="1"/>
  <c r="E34" i="2" l="1"/>
  <c r="D34" i="2" s="1"/>
  <c r="F34" i="2" s="1"/>
  <c r="E35" i="2" l="1"/>
  <c r="D35" i="2" s="1"/>
  <c r="F35" i="2" s="1"/>
  <c r="E36" i="2" l="1"/>
  <c r="D36" i="2" s="1"/>
  <c r="F36" i="2" s="1"/>
  <c r="E37" i="2" l="1"/>
  <c r="D37" i="2" s="1"/>
  <c r="F37" i="2" s="1"/>
  <c r="E38" i="2" l="1"/>
  <c r="D38" i="2" s="1"/>
  <c r="F38" i="2" s="1"/>
  <c r="E39" i="2" l="1"/>
  <c r="D39" i="2" s="1"/>
  <c r="F39" i="2" s="1"/>
  <c r="E40" i="2" l="1"/>
  <c r="D40" i="2" s="1"/>
  <c r="F40" i="2" s="1"/>
  <c r="E41" i="2" l="1"/>
  <c r="D41" i="2" s="1"/>
  <c r="F41" i="2" s="1"/>
  <c r="E42" i="2" l="1"/>
  <c r="D42" i="2" s="1"/>
  <c r="F42" i="2" s="1"/>
  <c r="E43" i="2" l="1"/>
  <c r="D43" i="2" s="1"/>
  <c r="F43" i="2" s="1"/>
  <c r="E44" i="2" l="1"/>
  <c r="D44" i="2" s="1"/>
  <c r="F44" i="2" s="1"/>
  <c r="E45" i="2" l="1"/>
  <c r="D45" i="2" s="1"/>
  <c r="F45" i="2" s="1"/>
  <c r="E46" i="2" l="1"/>
  <c r="D46" i="2" s="1"/>
  <c r="F46" i="2" s="1"/>
  <c r="E47" i="2" l="1"/>
  <c r="D47" i="2" s="1"/>
  <c r="F47" i="2" s="1"/>
  <c r="E48" i="2" l="1"/>
  <c r="D48" i="2" s="1"/>
  <c r="F48" i="2" s="1"/>
  <c r="E49" i="2" l="1"/>
  <c r="D49" i="2" s="1"/>
  <c r="F49" i="2" s="1"/>
  <c r="E50" i="2" l="1"/>
  <c r="D50" i="2" s="1"/>
  <c r="F50" i="2" s="1"/>
  <c r="E51" i="2" l="1"/>
  <c r="D51" i="2" s="1"/>
  <c r="F51" i="2" s="1"/>
  <c r="E52" i="2" l="1"/>
  <c r="D52" i="2" s="1"/>
  <c r="F52" i="2" s="1"/>
  <c r="E53" i="2" l="1"/>
  <c r="D53" i="2" s="1"/>
  <c r="F53" i="2" s="1"/>
  <c r="E54" i="2" l="1"/>
  <c r="D54" i="2" s="1"/>
  <c r="F54" i="2" s="1"/>
  <c r="E55" i="2" l="1"/>
  <c r="D55" i="2" s="1"/>
  <c r="F55" i="2" s="1"/>
  <c r="E56" i="2" l="1"/>
  <c r="D56" i="2" s="1"/>
  <c r="F56" i="2" s="1"/>
  <c r="E57" i="2" l="1"/>
  <c r="D57" i="2" s="1"/>
  <c r="F57" i="2" s="1"/>
  <c r="E58" i="2" l="1"/>
  <c r="D58" i="2" s="1"/>
  <c r="F58" i="2" s="1"/>
  <c r="E59" i="2" l="1"/>
  <c r="D59" i="2" s="1"/>
  <c r="F59" i="2" s="1"/>
  <c r="E60" i="2" l="1"/>
  <c r="D60" i="2" s="1"/>
  <c r="F60" i="2" s="1"/>
  <c r="E61" i="2" l="1"/>
  <c r="D61" i="2" s="1"/>
  <c r="F61" i="2" s="1"/>
  <c r="E62" i="2" l="1"/>
  <c r="D62" i="2" s="1"/>
  <c r="F62" i="2" s="1"/>
  <c r="E63" i="2" l="1"/>
  <c r="D63" i="2" s="1"/>
  <c r="F63" i="2" s="1"/>
  <c r="E64" i="2" l="1"/>
  <c r="D64" i="2" s="1"/>
  <c r="F64" i="2" s="1"/>
  <c r="E65" i="2" l="1"/>
  <c r="D65" i="2" s="1"/>
  <c r="F65" i="2" s="1"/>
  <c r="E66" i="2" l="1"/>
  <c r="D66" i="2" s="1"/>
  <c r="F66" i="2" s="1"/>
  <c r="E67" i="2" l="1"/>
  <c r="D67" i="2" s="1"/>
  <c r="F67" i="2" s="1"/>
  <c r="E68" i="2" l="1"/>
  <c r="D68" i="2" s="1"/>
  <c r="F68" i="2" s="1"/>
  <c r="E69" i="2" l="1"/>
  <c r="D69" i="2" s="1"/>
  <c r="F69" i="2" s="1"/>
  <c r="E70" i="2" l="1"/>
  <c r="D70" i="2" s="1"/>
  <c r="F70" i="2" s="1"/>
  <c r="E71" i="2" l="1"/>
  <c r="D71" i="2" s="1"/>
  <c r="F71" i="2" s="1"/>
  <c r="E72" i="2" l="1"/>
  <c r="D72" i="2" s="1"/>
  <c r="F72" i="2" s="1"/>
  <c r="E73" i="2" l="1"/>
  <c r="D73" i="2" s="1"/>
  <c r="F73" i="2" s="1"/>
  <c r="E74" i="2" l="1"/>
  <c r="D74" i="2" s="1"/>
  <c r="F74" i="2" s="1"/>
  <c r="E75" i="2" l="1"/>
  <c r="D75" i="2" s="1"/>
  <c r="F75" i="2" s="1"/>
  <c r="E76" i="2" l="1"/>
  <c r="D76" i="2" s="1"/>
  <c r="F76" i="2" s="1"/>
  <c r="E77" i="2" l="1"/>
  <c r="D77" i="2" s="1"/>
  <c r="F77" i="2" s="1"/>
  <c r="E78" i="2" l="1"/>
  <c r="D78" i="2" s="1"/>
  <c r="F78" i="2" s="1"/>
  <c r="E79" i="2" l="1"/>
  <c r="D79" i="2" s="1"/>
  <c r="F79" i="2" s="1"/>
  <c r="E80" i="2" l="1"/>
  <c r="D80" i="2" s="1"/>
  <c r="F80" i="2" s="1"/>
  <c r="E81" i="2" l="1"/>
  <c r="D81" i="2" s="1"/>
  <c r="F81" i="2" s="1"/>
  <c r="E82" i="2" l="1"/>
  <c r="D82" i="2" s="1"/>
  <c r="F82" i="2" s="1"/>
  <c r="E83" i="2" l="1"/>
  <c r="D83" i="2" s="1"/>
  <c r="F83" i="2" s="1"/>
  <c r="E84" i="2" l="1"/>
  <c r="D84" i="2" s="1"/>
  <c r="F84" i="2" s="1"/>
  <c r="E85" i="2" l="1"/>
  <c r="D85" i="2" s="1"/>
  <c r="F85" i="2" s="1"/>
  <c r="E86" i="2" l="1"/>
  <c r="D86" i="2" s="1"/>
  <c r="F86" i="2" s="1"/>
  <c r="E87" i="2" l="1"/>
  <c r="D87" i="2" s="1"/>
  <c r="F87" i="2" s="1"/>
  <c r="E88" i="2" l="1"/>
  <c r="D88" i="2" s="1"/>
  <c r="F88" i="2" s="1"/>
  <c r="E89" i="2" l="1"/>
  <c r="D89" i="2" s="1"/>
  <c r="F89" i="2" s="1"/>
  <c r="E90" i="2" l="1"/>
  <c r="D90" i="2" s="1"/>
  <c r="F90" i="2" s="1"/>
  <c r="E91" i="2" l="1"/>
  <c r="D91" i="2" s="1"/>
  <c r="F91" i="2" s="1"/>
  <c r="E92" i="2" l="1"/>
  <c r="D92" i="2" s="1"/>
  <c r="F92" i="2" s="1"/>
  <c r="E93" i="2" l="1"/>
  <c r="D93" i="2" s="1"/>
  <c r="F93" i="2" s="1"/>
  <c r="E94" i="2" l="1"/>
  <c r="D94" i="2" s="1"/>
  <c r="F94" i="2" s="1"/>
  <c r="E95" i="2" l="1"/>
  <c r="D95" i="2" s="1"/>
  <c r="F95" i="2" s="1"/>
  <c r="E96" i="2" l="1"/>
  <c r="D96" i="2" s="1"/>
  <c r="F96" i="2" s="1"/>
  <c r="E97" i="2" l="1"/>
  <c r="D97" i="2" s="1"/>
  <c r="F97" i="2" s="1"/>
  <c r="E98" i="2" l="1"/>
  <c r="D98" i="2" s="1"/>
  <c r="F98" i="2" s="1"/>
  <c r="E99" i="2" l="1"/>
  <c r="D99" i="2" s="1"/>
  <c r="F99" i="2" s="1"/>
  <c r="E100" i="2" l="1"/>
  <c r="D100" i="2" s="1"/>
  <c r="F100" i="2" s="1"/>
  <c r="E101" i="2" l="1"/>
  <c r="D101" i="2" s="1"/>
  <c r="F101" i="2" s="1"/>
  <c r="E102" i="2" l="1"/>
  <c r="D102" i="2" s="1"/>
  <c r="F102" i="2" s="1"/>
  <c r="E103" i="2" l="1"/>
  <c r="D103" i="2" s="1"/>
  <c r="F103" i="2" s="1"/>
  <c r="E104" i="2" l="1"/>
  <c r="D104" i="2" s="1"/>
  <c r="F104" i="2" s="1"/>
  <c r="E105" i="2" l="1"/>
  <c r="D105" i="2" s="1"/>
  <c r="F105" i="2" s="1"/>
  <c r="E106" i="2" l="1"/>
  <c r="D106" i="2" s="1"/>
  <c r="F106" i="2" s="1"/>
  <c r="E107" i="2" l="1"/>
  <c r="D107" i="2" s="1"/>
  <c r="F107" i="2" s="1"/>
  <c r="E108" i="2" l="1"/>
  <c r="D108" i="2" s="1"/>
  <c r="F108" i="2" s="1"/>
  <c r="E109" i="2" l="1"/>
  <c r="D109" i="2" s="1"/>
  <c r="F109" i="2" s="1"/>
  <c r="E110" i="2" l="1"/>
  <c r="D110" i="2" s="1"/>
  <c r="F110" i="2" s="1"/>
  <c r="E111" i="2" l="1"/>
  <c r="D111" i="2" s="1"/>
  <c r="F111" i="2" s="1"/>
  <c r="E112" i="2" l="1"/>
  <c r="D112" i="2" s="1"/>
  <c r="F112" i="2" s="1"/>
  <c r="E113" i="2" l="1"/>
  <c r="D113" i="2" s="1"/>
  <c r="F113" i="2" s="1"/>
  <c r="E114" i="2" l="1"/>
  <c r="D114" i="2" s="1"/>
  <c r="F114" i="2" s="1"/>
  <c r="E115" i="2" l="1"/>
  <c r="D115" i="2" s="1"/>
  <c r="F115" i="2" s="1"/>
  <c r="E116" i="2" l="1"/>
  <c r="D116" i="2" s="1"/>
  <c r="F116" i="2" s="1"/>
  <c r="E117" i="2" l="1"/>
  <c r="D117" i="2" s="1"/>
  <c r="F117" i="2" s="1"/>
  <c r="E118" i="2" l="1"/>
  <c r="D118" i="2" s="1"/>
  <c r="F118" i="2" s="1"/>
  <c r="E119" i="2" l="1"/>
  <c r="D119" i="2" s="1"/>
  <c r="F119" i="2" s="1"/>
  <c r="E120" i="2" l="1"/>
  <c r="D120" i="2" s="1"/>
  <c r="F120" i="2" s="1"/>
  <c r="E121" i="2" l="1"/>
  <c r="D121" i="2" s="1"/>
  <c r="F121" i="2" s="1"/>
  <c r="E122" i="2" l="1"/>
  <c r="D122" i="2" s="1"/>
  <c r="F122" i="2" s="1"/>
  <c r="E123" i="2" l="1"/>
  <c r="D123" i="2" s="1"/>
  <c r="F123" i="2" s="1"/>
  <c r="E124" i="2" l="1"/>
  <c r="D124" i="2" s="1"/>
  <c r="F124" i="2" s="1"/>
  <c r="E125" i="2" l="1"/>
  <c r="D125" i="2" s="1"/>
  <c r="F125" i="2" s="1"/>
  <c r="E126" i="2" l="1"/>
  <c r="D126" i="2" s="1"/>
  <c r="F126" i="2" s="1"/>
  <c r="E127" i="2" l="1"/>
  <c r="D127" i="2" s="1"/>
  <c r="F127" i="2" s="1"/>
  <c r="E128" i="2" l="1"/>
  <c r="D128" i="2" s="1"/>
  <c r="F128" i="2" s="1"/>
  <c r="E129" i="2" l="1"/>
  <c r="D129" i="2" s="1"/>
  <c r="F129" i="2" s="1"/>
  <c r="E130" i="2" l="1"/>
  <c r="D130" i="2" s="1"/>
  <c r="F130" i="2" s="1"/>
  <c r="E131" i="2" l="1"/>
  <c r="D131" i="2" s="1"/>
  <c r="F131" i="2" s="1"/>
  <c r="E132" i="2" l="1"/>
  <c r="D132" i="2" s="1"/>
  <c r="F132" i="2" s="1"/>
  <c r="E133" i="2" l="1"/>
  <c r="D133" i="2" s="1"/>
  <c r="F133" i="2" s="1"/>
  <c r="E134" i="2" l="1"/>
  <c r="D134" i="2" s="1"/>
  <c r="F134" i="2" s="1"/>
  <c r="E135" i="2" l="1"/>
  <c r="D135" i="2" s="1"/>
  <c r="F135" i="2" s="1"/>
  <c r="E136" i="2" l="1"/>
  <c r="D136" i="2" s="1"/>
  <c r="F136" i="2" s="1"/>
  <c r="E137" i="2" l="1"/>
  <c r="D137" i="2" s="1"/>
  <c r="F137" i="2" s="1"/>
  <c r="E138" i="2" l="1"/>
  <c r="D138" i="2" s="1"/>
  <c r="F138" i="2" s="1"/>
  <c r="E139" i="2" s="1"/>
  <c r="D139" i="2" s="1"/>
  <c r="F139" i="2" s="1"/>
  <c r="E140" i="2" s="1"/>
  <c r="D140" i="2" s="1"/>
  <c r="F140" i="2" s="1"/>
  <c r="E141" i="2" s="1"/>
  <c r="D141" i="2" s="1"/>
  <c r="F141" i="2" s="1"/>
  <c r="E142" i="2" s="1"/>
  <c r="D142" i="2" s="1"/>
  <c r="F142" i="2" s="1"/>
  <c r="E143" i="2" s="1"/>
  <c r="D143" i="2" s="1"/>
  <c r="F143" i="2" s="1"/>
  <c r="E144" i="2" s="1"/>
  <c r="D144" i="2" s="1"/>
  <c r="F144" i="2" s="1"/>
  <c r="E145" i="2" s="1"/>
  <c r="D145" i="2" s="1"/>
  <c r="F145" i="2" s="1"/>
  <c r="E146" i="2" s="1"/>
  <c r="D146" i="2" s="1"/>
  <c r="F146" i="2" s="1"/>
  <c r="E147" i="2" s="1"/>
  <c r="D147" i="2" s="1"/>
  <c r="F147" i="2" s="1"/>
  <c r="E148" i="2" s="1"/>
  <c r="D148" i="2" s="1"/>
  <c r="F148" i="2" s="1"/>
  <c r="E149" i="2" s="1"/>
  <c r="D149" i="2" s="1"/>
  <c r="F149" i="2" s="1"/>
  <c r="E150" i="2" s="1"/>
  <c r="D150" i="2" s="1"/>
  <c r="F150" i="2" s="1"/>
  <c r="E151" i="2" s="1"/>
  <c r="D151" i="2" s="1"/>
  <c r="F151" i="2" s="1"/>
  <c r="E152" i="2" s="1"/>
  <c r="D152" i="2" s="1"/>
  <c r="F152" i="2" s="1"/>
  <c r="E153" i="2" s="1"/>
  <c r="D153" i="2" s="1"/>
  <c r="F153" i="2" s="1"/>
  <c r="E154" i="2" s="1"/>
  <c r="D154" i="2" s="1"/>
  <c r="F154" i="2" s="1"/>
  <c r="E155" i="2" s="1"/>
  <c r="D155" i="2" s="1"/>
  <c r="F155" i="2" s="1"/>
  <c r="E156" i="2" s="1"/>
  <c r="D156" i="2" s="1"/>
  <c r="F156" i="2" s="1"/>
  <c r="E157" i="2" s="1"/>
  <c r="D157" i="2" s="1"/>
  <c r="F157" i="2" s="1"/>
  <c r="E158" i="2" s="1"/>
  <c r="D158" i="2" s="1"/>
  <c r="F158" i="2" s="1"/>
  <c r="E159" i="2" s="1"/>
  <c r="D159" i="2" s="1"/>
  <c r="F159" i="2" s="1"/>
  <c r="E160" i="2" s="1"/>
  <c r="D160" i="2" s="1"/>
  <c r="F160" i="2" s="1"/>
  <c r="E161" i="2" s="1"/>
  <c r="D161" i="2" s="1"/>
  <c r="F161" i="2" s="1"/>
  <c r="E162" i="2" s="1"/>
  <c r="D162" i="2" s="1"/>
  <c r="F162" i="2" s="1"/>
  <c r="E163" i="2" s="1"/>
  <c r="D163" i="2" s="1"/>
  <c r="F163" i="2" s="1"/>
  <c r="E164" i="2" s="1"/>
  <c r="D164" i="2" s="1"/>
  <c r="F164" i="2" s="1"/>
  <c r="E165" i="2" s="1"/>
  <c r="D165" i="2" s="1"/>
  <c r="F165" i="2" s="1"/>
  <c r="E166" i="2" s="1"/>
  <c r="D166" i="2" s="1"/>
  <c r="F166" i="2" s="1"/>
  <c r="E167" i="2" s="1"/>
  <c r="D167" i="2" s="1"/>
  <c r="F167" i="2" s="1"/>
  <c r="E168" i="2" s="1"/>
  <c r="D168" i="2" s="1"/>
  <c r="F168" i="2" s="1"/>
  <c r="E169" i="2" s="1"/>
  <c r="D169" i="2" s="1"/>
  <c r="F169" i="2" s="1"/>
  <c r="E170" i="2" s="1"/>
  <c r="D170" i="2" s="1"/>
  <c r="F170" i="2" s="1"/>
  <c r="E171" i="2" s="1"/>
  <c r="D171" i="2" s="1"/>
  <c r="F171" i="2" s="1"/>
  <c r="E172" i="2" s="1"/>
  <c r="D172" i="2" s="1"/>
  <c r="F172" i="2" s="1"/>
  <c r="E173" i="2" s="1"/>
  <c r="D173" i="2" s="1"/>
  <c r="F173" i="2" s="1"/>
  <c r="E174" i="2" s="1"/>
  <c r="D174" i="2" s="1"/>
  <c r="F174" i="2" s="1"/>
  <c r="E175" i="2" s="1"/>
  <c r="D175" i="2" s="1"/>
  <c r="F175" i="2" s="1"/>
  <c r="E176" i="2" s="1"/>
  <c r="D176" i="2" s="1"/>
  <c r="F176" i="2" s="1"/>
  <c r="E177" i="2" s="1"/>
  <c r="D177" i="2" s="1"/>
  <c r="F177" i="2" s="1"/>
  <c r="E178" i="2" s="1"/>
  <c r="D178" i="2" s="1"/>
  <c r="F178" i="2" s="1"/>
  <c r="E179" i="2" s="1"/>
  <c r="D179" i="2" s="1"/>
  <c r="F179" i="2" s="1"/>
  <c r="E180" i="2" s="1"/>
  <c r="D180" i="2" s="1"/>
  <c r="F180" i="2" s="1"/>
  <c r="E181" i="2" s="1"/>
  <c r="D181" i="2" s="1"/>
  <c r="F181" i="2" s="1"/>
  <c r="E182" i="2" s="1"/>
  <c r="D182" i="2" s="1"/>
  <c r="F182" i="2" s="1"/>
  <c r="E183" i="2" s="1"/>
  <c r="D183" i="2" s="1"/>
  <c r="F183" i="2" s="1"/>
  <c r="E184" i="2" s="1"/>
  <c r="D184" i="2" s="1"/>
  <c r="F184" i="2" s="1"/>
  <c r="E185" i="2" s="1"/>
  <c r="D185" i="2" s="1"/>
  <c r="F185" i="2" s="1"/>
  <c r="E186" i="2" s="1"/>
  <c r="D186" i="2" s="1"/>
  <c r="F186" i="2" s="1"/>
  <c r="E187" i="2" s="1"/>
  <c r="D187" i="2" s="1"/>
  <c r="F187" i="2" s="1"/>
  <c r="E188" i="2" s="1"/>
  <c r="D188" i="2" s="1"/>
  <c r="F188" i="2" s="1"/>
  <c r="E189" i="2" s="1"/>
  <c r="D189" i="2" s="1"/>
  <c r="F189" i="2" s="1"/>
  <c r="E190" i="2" s="1"/>
  <c r="D190" i="2" s="1"/>
  <c r="F190" i="2" s="1"/>
  <c r="E191" i="2" s="1"/>
  <c r="D191" i="2" s="1"/>
  <c r="F191" i="2" s="1"/>
  <c r="E192" i="2" s="1"/>
  <c r="D192" i="2" s="1"/>
  <c r="F192" i="2" s="1"/>
  <c r="E193" i="2" s="1"/>
  <c r="D193" i="2" s="1"/>
  <c r="F193" i="2" s="1"/>
  <c r="E194" i="2" s="1"/>
  <c r="D194" i="2" s="1"/>
  <c r="F194" i="2" s="1"/>
  <c r="E195" i="2" s="1"/>
  <c r="D195" i="2" s="1"/>
  <c r="F195" i="2" s="1"/>
  <c r="E196" i="2" s="1"/>
  <c r="D196" i="2" s="1"/>
  <c r="F196" i="2" s="1"/>
  <c r="E197" i="2" s="1"/>
  <c r="D197" i="2" s="1"/>
  <c r="F197" i="2" s="1"/>
  <c r="E198" i="2" s="1"/>
  <c r="D198" i="2" s="1"/>
  <c r="F198" i="2" s="1"/>
  <c r="E199" i="2" s="1"/>
  <c r="D199" i="2" s="1"/>
  <c r="F199" i="2" s="1"/>
  <c r="E200" i="2" s="1"/>
  <c r="D200" i="2" s="1"/>
  <c r="F200" i="2" s="1"/>
  <c r="E201" i="2" s="1"/>
  <c r="D201" i="2" s="1"/>
  <c r="F201" i="2" s="1"/>
  <c r="E202" i="2" s="1"/>
  <c r="D202" i="2" s="1"/>
  <c r="F202" i="2" s="1"/>
  <c r="E203" i="2" s="1"/>
  <c r="D203" i="2" s="1"/>
  <c r="F203" i="2" s="1"/>
  <c r="E204" i="2" s="1"/>
  <c r="D204" i="2" s="1"/>
  <c r="F204" i="2" s="1"/>
  <c r="E205" i="2" s="1"/>
  <c r="D205" i="2" s="1"/>
  <c r="F205" i="2" s="1"/>
  <c r="E206" i="2" s="1"/>
  <c r="D206" i="2" s="1"/>
  <c r="F206" i="2" s="1"/>
  <c r="E207" i="2" s="1"/>
  <c r="D207" i="2" s="1"/>
  <c r="F207" i="2" s="1"/>
  <c r="E208" i="2" s="1"/>
  <c r="D208" i="2" s="1"/>
  <c r="F208" i="2" s="1"/>
  <c r="E209" i="2" s="1"/>
  <c r="D209" i="2" s="1"/>
  <c r="F209" i="2" s="1"/>
  <c r="E210" i="2" s="1"/>
  <c r="D210" i="2" s="1"/>
  <c r="F210" i="2" s="1"/>
  <c r="E211" i="2" s="1"/>
  <c r="D211" i="2" s="1"/>
  <c r="F211" i="2" s="1"/>
  <c r="E212" i="2" s="1"/>
  <c r="D212" i="2" s="1"/>
  <c r="F212" i="2" s="1"/>
  <c r="E213" i="2" s="1"/>
  <c r="D213" i="2" s="1"/>
  <c r="F213" i="2" s="1"/>
  <c r="E214" i="2" s="1"/>
  <c r="D214" i="2" s="1"/>
  <c r="F214" i="2" s="1"/>
  <c r="E215" i="2" s="1"/>
  <c r="D215" i="2" s="1"/>
  <c r="F215" i="2" s="1"/>
  <c r="E216" i="2" s="1"/>
  <c r="D216" i="2" s="1"/>
  <c r="F216" i="2" s="1"/>
  <c r="E217" i="2" s="1"/>
  <c r="D217" i="2" s="1"/>
  <c r="F217" i="2" s="1"/>
  <c r="E218" i="2" s="1"/>
  <c r="D218" i="2" s="1"/>
  <c r="F218" i="2" s="1"/>
  <c r="E219" i="2" s="1"/>
  <c r="D219" i="2" s="1"/>
  <c r="F219" i="2" s="1"/>
  <c r="E220" i="2" s="1"/>
  <c r="D220" i="2" s="1"/>
  <c r="F220" i="2" s="1"/>
  <c r="E221" i="2" s="1"/>
  <c r="D221" i="2" s="1"/>
  <c r="F221" i="2" s="1"/>
  <c r="E222" i="2" s="1"/>
  <c r="D222" i="2" s="1"/>
  <c r="F222" i="2" s="1"/>
  <c r="E223" i="2" s="1"/>
  <c r="D223" i="2" s="1"/>
  <c r="F223" i="2" s="1"/>
  <c r="E224" i="2" s="1"/>
  <c r="D224" i="2" s="1"/>
  <c r="F224" i="2" s="1"/>
  <c r="E225" i="2" s="1"/>
  <c r="D225" i="2" s="1"/>
  <c r="F225" i="2" s="1"/>
  <c r="E226" i="2" s="1"/>
  <c r="D226" i="2" s="1"/>
  <c r="F226" i="2" s="1"/>
  <c r="E227" i="2" s="1"/>
  <c r="D227" i="2" s="1"/>
  <c r="F227" i="2" s="1"/>
  <c r="E228" i="2" s="1"/>
  <c r="D228" i="2" s="1"/>
  <c r="F228" i="2" s="1"/>
  <c r="E229" i="2" s="1"/>
  <c r="D229" i="2" s="1"/>
  <c r="F229" i="2" s="1"/>
  <c r="E230" i="2" s="1"/>
  <c r="D230" i="2" s="1"/>
  <c r="F230" i="2" s="1"/>
  <c r="E231" i="2" s="1"/>
  <c r="D231" i="2" s="1"/>
  <c r="F231" i="2" s="1"/>
  <c r="E232" i="2" s="1"/>
  <c r="D232" i="2" s="1"/>
  <c r="F232" i="2" s="1"/>
  <c r="E233" i="2" s="1"/>
  <c r="D233" i="2" s="1"/>
  <c r="F233" i="2" s="1"/>
  <c r="E234" i="2" s="1"/>
  <c r="D234" i="2" s="1"/>
  <c r="F234" i="2" s="1"/>
  <c r="E235" i="2" s="1"/>
  <c r="D235" i="2" s="1"/>
  <c r="F235" i="2" s="1"/>
  <c r="E236" i="2" s="1"/>
  <c r="D236" i="2" s="1"/>
  <c r="F236" i="2" s="1"/>
  <c r="E237" i="2" s="1"/>
  <c r="D237" i="2" s="1"/>
  <c r="F237" i="2" s="1"/>
  <c r="E238" i="2" s="1"/>
  <c r="D238" i="2" s="1"/>
  <c r="F238" i="2" s="1"/>
  <c r="E239" i="2" s="1"/>
  <c r="D239" i="2" s="1"/>
  <c r="F239" i="2" s="1"/>
  <c r="E240" i="2" s="1"/>
  <c r="D240" i="2" s="1"/>
  <c r="F240" i="2" s="1"/>
  <c r="E241" i="2" s="1"/>
  <c r="D241" i="2" s="1"/>
  <c r="F241" i="2" s="1"/>
  <c r="E242" i="2" s="1"/>
  <c r="D242" i="2" s="1"/>
  <c r="F242" i="2" s="1"/>
  <c r="E243" i="2" s="1"/>
  <c r="D243" i="2" s="1"/>
  <c r="F243" i="2" s="1"/>
  <c r="E244" i="2" s="1"/>
  <c r="D244" i="2" s="1"/>
  <c r="F244" i="2" s="1"/>
  <c r="E245" i="2" s="1"/>
  <c r="D245" i="2" s="1"/>
  <c r="F245" i="2" s="1"/>
  <c r="E246" i="2" s="1"/>
  <c r="D246" i="2" s="1"/>
  <c r="F246" i="2" s="1"/>
  <c r="E247" i="2" s="1"/>
  <c r="D247" i="2" s="1"/>
  <c r="F247" i="2" s="1"/>
  <c r="E248" i="2" s="1"/>
  <c r="D248" i="2" s="1"/>
  <c r="F248" i="2" s="1"/>
  <c r="E249" i="2" s="1"/>
  <c r="D249" i="2" s="1"/>
  <c r="F249" i="2" s="1"/>
  <c r="E250" i="2" s="1"/>
  <c r="D250" i="2" s="1"/>
  <c r="F250" i="2" s="1"/>
  <c r="E251" i="2" s="1"/>
  <c r="D251" i="2" s="1"/>
  <c r="F251" i="2" s="1"/>
  <c r="E252" i="2" s="1"/>
  <c r="D252" i="2" s="1"/>
  <c r="F252" i="2" s="1"/>
  <c r="E253" i="2" s="1"/>
  <c r="D253" i="2" s="1"/>
  <c r="F253" i="2" s="1"/>
  <c r="E254" i="2" s="1"/>
  <c r="D254" i="2" s="1"/>
  <c r="F254" i="2" s="1"/>
  <c r="E255" i="2" s="1"/>
  <c r="D255" i="2" s="1"/>
  <c r="F255" i="2" s="1"/>
  <c r="E256" i="2" s="1"/>
  <c r="D256" i="2" s="1"/>
  <c r="F256" i="2" s="1"/>
  <c r="E257" i="2" s="1"/>
  <c r="D257" i="2" s="1"/>
  <c r="F257" i="2" s="1"/>
  <c r="E258" i="2" s="1"/>
  <c r="D258" i="2" s="1"/>
  <c r="F258" i="2" s="1"/>
  <c r="E259" i="2" s="1"/>
  <c r="D259" i="2" s="1"/>
  <c r="F259" i="2" s="1"/>
  <c r="E260" i="2" s="1"/>
  <c r="D260" i="2" s="1"/>
  <c r="F260" i="2" s="1"/>
  <c r="E261" i="2" s="1"/>
  <c r="D261" i="2" s="1"/>
  <c r="F261" i="2" s="1"/>
  <c r="E262" i="2" s="1"/>
  <c r="D262" i="2" s="1"/>
  <c r="F262" i="2" s="1"/>
  <c r="E263" i="2" s="1"/>
  <c r="D263" i="2" s="1"/>
  <c r="F263" i="2" s="1"/>
  <c r="E264" i="2" s="1"/>
  <c r="D264" i="2" s="1"/>
  <c r="F264" i="2" s="1"/>
  <c r="E265" i="2" s="1"/>
  <c r="D265" i="2" s="1"/>
  <c r="F265" i="2" s="1"/>
  <c r="E266" i="2" s="1"/>
  <c r="D266" i="2" s="1"/>
  <c r="F266" i="2" s="1"/>
  <c r="E267" i="2" s="1"/>
  <c r="D267" i="2" s="1"/>
  <c r="F267" i="2" s="1"/>
  <c r="E268" i="2" s="1"/>
  <c r="D268" i="2" s="1"/>
  <c r="F268" i="2" s="1"/>
  <c r="E269" i="2" s="1"/>
  <c r="D269" i="2" s="1"/>
  <c r="F269" i="2" s="1"/>
  <c r="E270" i="2" l="1"/>
  <c r="D270" i="2" s="1"/>
  <c r="F270" i="2" s="1"/>
  <c r="E271" i="2" l="1"/>
  <c r="D271" i="2" s="1"/>
  <c r="F271" i="2" s="1"/>
  <c r="E272" i="2" l="1"/>
  <c r="D272" i="2" s="1"/>
  <c r="F272" i="2" s="1"/>
  <c r="E273" i="2" l="1"/>
  <c r="D273" i="2" s="1"/>
  <c r="F273" i="2" s="1"/>
  <c r="E274" i="2" l="1"/>
  <c r="D274" i="2" s="1"/>
  <c r="F274" i="2" s="1"/>
  <c r="E275" i="2" l="1"/>
  <c r="D275" i="2" s="1"/>
  <c r="F275" i="2" s="1"/>
  <c r="E276" i="2" l="1"/>
  <c r="D276" i="2" s="1"/>
  <c r="F276" i="2" s="1"/>
  <c r="E277" i="2" l="1"/>
  <c r="D277" i="2" s="1"/>
  <c r="F277" i="2" s="1"/>
  <c r="E278" i="2" l="1"/>
  <c r="D278" i="2" s="1"/>
  <c r="F278" i="2" s="1"/>
  <c r="E279" i="2" l="1"/>
  <c r="D279" i="2" s="1"/>
  <c r="F279" i="2" s="1"/>
  <c r="E280" i="2" l="1"/>
  <c r="D280" i="2" s="1"/>
  <c r="F280" i="2" s="1"/>
  <c r="E281" i="2" l="1"/>
  <c r="D281" i="2" s="1"/>
  <c r="F281" i="2" s="1"/>
  <c r="E282" i="2" l="1"/>
  <c r="D282" i="2" s="1"/>
  <c r="F282" i="2" s="1"/>
  <c r="E283" i="2" l="1"/>
  <c r="D283" i="2" s="1"/>
  <c r="F283" i="2" s="1"/>
  <c r="E284" i="2" l="1"/>
  <c r="D284" i="2" s="1"/>
  <c r="F284" i="2" s="1"/>
  <c r="E285" i="2" l="1"/>
  <c r="D285" i="2" s="1"/>
  <c r="F285" i="2" s="1"/>
  <c r="E286" i="2" l="1"/>
  <c r="D286" i="2" s="1"/>
  <c r="F286" i="2" s="1"/>
  <c r="E287" i="2" l="1"/>
  <c r="D287" i="2" s="1"/>
  <c r="F287" i="2" s="1"/>
  <c r="E288" i="2" l="1"/>
  <c r="D288" i="2" s="1"/>
  <c r="F288" i="2" s="1"/>
  <c r="E289" i="2" l="1"/>
  <c r="D289" i="2" s="1"/>
  <c r="F289" i="2" s="1"/>
  <c r="E290" i="2" l="1"/>
  <c r="D290" i="2" s="1"/>
  <c r="F290" i="2" s="1"/>
  <c r="E291" i="2" l="1"/>
  <c r="D291" i="2" s="1"/>
  <c r="F291" i="2" s="1"/>
  <c r="E292" i="2" l="1"/>
  <c r="D292" i="2" s="1"/>
  <c r="F292" i="2" s="1"/>
  <c r="E293" i="2" l="1"/>
  <c r="D293" i="2" s="1"/>
  <c r="F293" i="2" s="1"/>
  <c r="E294" i="2" l="1"/>
  <c r="D294" i="2" s="1"/>
  <c r="F294" i="2" s="1"/>
  <c r="E295" i="2" l="1"/>
  <c r="D295" i="2" s="1"/>
  <c r="F295" i="2" s="1"/>
  <c r="E296" i="2" l="1"/>
  <c r="D296" i="2" s="1"/>
  <c r="F296" i="2" s="1"/>
  <c r="E297" i="2" l="1"/>
  <c r="D297" i="2" s="1"/>
  <c r="F297" i="2" s="1"/>
  <c r="E298" i="2" l="1"/>
  <c r="D298" i="2" s="1"/>
  <c r="F298" i="2" s="1"/>
  <c r="E299" i="2" l="1"/>
  <c r="D299" i="2" s="1"/>
  <c r="F299" i="2" s="1"/>
  <c r="E300" i="2" l="1"/>
  <c r="D300" i="2" s="1"/>
  <c r="F300" i="2" s="1"/>
  <c r="E301" i="2" l="1"/>
  <c r="D301" i="2" s="1"/>
  <c r="F301" i="2" s="1"/>
  <c r="E302" i="2" l="1"/>
  <c r="D302" i="2" s="1"/>
  <c r="F302" i="2" s="1"/>
  <c r="E303" i="2" l="1"/>
  <c r="D303" i="2" s="1"/>
  <c r="F303" i="2" s="1"/>
  <c r="E304" i="2" l="1"/>
  <c r="D304" i="2" s="1"/>
  <c r="F304" i="2" s="1"/>
  <c r="E305" i="2" l="1"/>
  <c r="D305" i="2" s="1"/>
  <c r="F305" i="2" s="1"/>
  <c r="E306" i="2" l="1"/>
  <c r="D306" i="2" s="1"/>
  <c r="F306" i="2" s="1"/>
  <c r="E307" i="2" l="1"/>
  <c r="D307" i="2" s="1"/>
  <c r="F307" i="2" s="1"/>
  <c r="E308" i="2" l="1"/>
  <c r="D308" i="2" s="1"/>
  <c r="F308" i="2" s="1"/>
  <c r="E309" i="2" l="1"/>
  <c r="D309" i="2" s="1"/>
  <c r="F309" i="2" s="1"/>
  <c r="E310" i="2" l="1"/>
  <c r="D310" i="2" s="1"/>
  <c r="F310" i="2" s="1"/>
  <c r="E311" i="2" l="1"/>
  <c r="D311" i="2" s="1"/>
  <c r="F311" i="2" s="1"/>
  <c r="E312" i="2" l="1"/>
  <c r="D312" i="2" s="1"/>
  <c r="F312" i="2" s="1"/>
  <c r="E313" i="2" l="1"/>
  <c r="D313" i="2" s="1"/>
  <c r="F313" i="2" s="1"/>
  <c r="E314" i="2" l="1"/>
  <c r="D314" i="2" s="1"/>
  <c r="F314" i="2" s="1"/>
  <c r="E315" i="2" l="1"/>
  <c r="D315" i="2" s="1"/>
  <c r="F315" i="2" s="1"/>
  <c r="E316" i="2" l="1"/>
  <c r="D316" i="2" s="1"/>
  <c r="F316" i="2" s="1"/>
  <c r="E317" i="2" l="1"/>
  <c r="D317" i="2" s="1"/>
  <c r="F317" i="2" s="1"/>
  <c r="E318" i="2" l="1"/>
  <c r="D318" i="2" s="1"/>
  <c r="F318" i="2" s="1"/>
  <c r="E319" i="2" l="1"/>
  <c r="D319" i="2" s="1"/>
  <c r="F319" i="2" s="1"/>
  <c r="E320" i="2" l="1"/>
  <c r="D320" i="2" s="1"/>
  <c r="F320" i="2" s="1"/>
  <c r="E321" i="2" l="1"/>
  <c r="D321" i="2" s="1"/>
  <c r="F321" i="2" s="1"/>
  <c r="E322" i="2" l="1"/>
  <c r="D322" i="2" s="1"/>
  <c r="F322" i="2" s="1"/>
  <c r="E323" i="2" l="1"/>
  <c r="D323" i="2" s="1"/>
  <c r="F323" i="2" s="1"/>
  <c r="E324" i="2" l="1"/>
  <c r="D324" i="2" s="1"/>
  <c r="F324" i="2" s="1"/>
  <c r="E325" i="2" l="1"/>
  <c r="D325" i="2" s="1"/>
  <c r="F325" i="2" s="1"/>
  <c r="E326" i="2" l="1"/>
  <c r="D326" i="2" s="1"/>
  <c r="F326" i="2" s="1"/>
  <c r="E327" i="2" l="1"/>
  <c r="D327" i="2" s="1"/>
  <c r="F327" i="2" s="1"/>
  <c r="E328" i="2" l="1"/>
  <c r="D328" i="2" s="1"/>
  <c r="F328" i="2" s="1"/>
  <c r="E329" i="2" l="1"/>
  <c r="D329" i="2" s="1"/>
  <c r="F329" i="2" s="1"/>
  <c r="E330" i="2" l="1"/>
  <c r="D330" i="2" s="1"/>
  <c r="F330" i="2" s="1"/>
  <c r="E331" i="2" l="1"/>
  <c r="D331" i="2" s="1"/>
  <c r="F331" i="2" s="1"/>
  <c r="E332" i="2" l="1"/>
  <c r="D332" i="2" s="1"/>
  <c r="F332" i="2" s="1"/>
  <c r="E333" i="2" l="1"/>
  <c r="D333" i="2" s="1"/>
  <c r="F333" i="2" s="1"/>
  <c r="E334" i="2" l="1"/>
  <c r="D334" i="2" s="1"/>
  <c r="F334" i="2" s="1"/>
  <c r="E335" i="2" l="1"/>
  <c r="D335" i="2" s="1"/>
  <c r="F335" i="2" s="1"/>
  <c r="E336" i="2" l="1"/>
  <c r="D336" i="2" s="1"/>
  <c r="F336" i="2" s="1"/>
  <c r="E337" i="2" l="1"/>
  <c r="D337" i="2" s="1"/>
  <c r="F337" i="2" s="1"/>
  <c r="E338" i="2" l="1"/>
  <c r="D338" i="2" s="1"/>
  <c r="F338" i="2" s="1"/>
  <c r="E339" i="2" l="1"/>
  <c r="D339" i="2" s="1"/>
  <c r="F339" i="2" s="1"/>
  <c r="E340" i="2" l="1"/>
  <c r="D340" i="2" s="1"/>
  <c r="F340" i="2" s="1"/>
  <c r="E341" i="2" l="1"/>
  <c r="D341" i="2" s="1"/>
  <c r="F341" i="2" s="1"/>
  <c r="E342" i="2" l="1"/>
  <c r="D342" i="2" s="1"/>
  <c r="F342" i="2" s="1"/>
  <c r="E343" i="2" l="1"/>
  <c r="D343" i="2" s="1"/>
  <c r="F343" i="2" s="1"/>
  <c r="E344" i="2" l="1"/>
  <c r="D344" i="2" s="1"/>
  <c r="F344" i="2" s="1"/>
  <c r="E345" i="2" l="1"/>
  <c r="D345" i="2" s="1"/>
  <c r="F345" i="2" s="1"/>
  <c r="E346" i="2" l="1"/>
  <c r="D346" i="2" s="1"/>
  <c r="F346" i="2" s="1"/>
  <c r="E347" i="2" l="1"/>
  <c r="D347" i="2" s="1"/>
  <c r="F347" i="2" s="1"/>
  <c r="E348" i="2" l="1"/>
  <c r="D348" i="2" s="1"/>
  <c r="F348" i="2" s="1"/>
  <c r="E349" i="2" l="1"/>
  <c r="D349" i="2" s="1"/>
  <c r="F349" i="2" s="1"/>
  <c r="E350" i="2" l="1"/>
  <c r="D350" i="2" s="1"/>
  <c r="F350" i="2" s="1"/>
  <c r="E351" i="2" l="1"/>
  <c r="D351" i="2" s="1"/>
  <c r="F351" i="2" s="1"/>
  <c r="E352" i="2" l="1"/>
  <c r="D352" i="2" s="1"/>
  <c r="F352" i="2" s="1"/>
  <c r="E353" i="2" l="1"/>
  <c r="D353" i="2" s="1"/>
  <c r="F353" i="2" s="1"/>
  <c r="E354" i="2" l="1"/>
  <c r="D354" i="2" s="1"/>
  <c r="F354" i="2" s="1"/>
  <c r="E355" i="2" l="1"/>
  <c r="D355" i="2" s="1"/>
  <c r="F355" i="2" s="1"/>
  <c r="E356" i="2" l="1"/>
  <c r="D356" i="2" s="1"/>
  <c r="F356" i="2" s="1"/>
  <c r="E357" i="2" l="1"/>
  <c r="D357" i="2" s="1"/>
  <c r="F357" i="2" s="1"/>
  <c r="E358" i="2" l="1"/>
  <c r="D358" i="2" s="1"/>
  <c r="F358" i="2" s="1"/>
  <c r="E359" i="2" l="1"/>
  <c r="D359" i="2" s="1"/>
  <c r="F359" i="2" s="1"/>
  <c r="E360" i="2" l="1"/>
  <c r="D360" i="2" s="1"/>
  <c r="F360" i="2" s="1"/>
  <c r="E361" i="2" l="1"/>
  <c r="D361" i="2" s="1"/>
  <c r="F361" i="2" s="1"/>
  <c r="E362" i="2" l="1"/>
  <c r="D362" i="2" s="1"/>
  <c r="F362" i="2" s="1"/>
  <c r="E363" i="2" l="1"/>
  <c r="D363" i="2" s="1"/>
  <c r="F363" i="2" s="1"/>
  <c r="E364" i="2" l="1"/>
  <c r="D364" i="2" s="1"/>
  <c r="F364" i="2" s="1"/>
  <c r="E365" i="2" l="1"/>
  <c r="D365" i="2" s="1"/>
  <c r="F365" i="2" s="1"/>
  <c r="E366" i="2" l="1"/>
  <c r="D366" i="2" s="1"/>
  <c r="F366" i="2" s="1"/>
  <c r="E367" i="2" l="1"/>
  <c r="D367" i="2" s="1"/>
  <c r="F367" i="2" s="1"/>
  <c r="E368" i="2" l="1"/>
  <c r="D368" i="2" s="1"/>
  <c r="F368" i="2" s="1"/>
  <c r="E369" i="2" l="1"/>
  <c r="D369" i="2" s="1"/>
  <c r="F369" i="2" s="1"/>
</calcChain>
</file>

<file path=xl/sharedStrings.xml><?xml version="1.0" encoding="utf-8"?>
<sst xmlns="http://schemas.openxmlformats.org/spreadsheetml/2006/main" count="32" uniqueCount="30">
  <si>
    <t>Связанные ячейки</t>
  </si>
  <si>
    <t>Процент из просмотра</t>
  </si>
  <si>
    <t>Процент</t>
  </si>
  <si>
    <t>30 лет</t>
  </si>
  <si>
    <t>15 лет</t>
  </si>
  <si>
    <t>10% ПП</t>
  </si>
  <si>
    <t>15% ПП</t>
  </si>
  <si>
    <t>20% ПП</t>
  </si>
  <si>
    <t>предварительный платеж</t>
  </si>
  <si>
    <t>Параметры выплаты кредита</t>
  </si>
  <si>
    <t>кредит</t>
  </si>
  <si>
    <t>летний кредит</t>
  </si>
  <si>
    <t>Сумма покупки:</t>
  </si>
  <si>
    <t>% предварит. платежа:</t>
  </si>
  <si>
    <t xml:space="preserve"> Срок кредита:</t>
  </si>
  <si>
    <t>Размер кредита:</t>
  </si>
  <si>
    <t>Ежемесячный платеж:</t>
  </si>
  <si>
    <t>График выплат</t>
  </si>
  <si>
    <t>Комиссионные за кредит</t>
  </si>
  <si>
    <t>Первый платеж:</t>
  </si>
  <si>
    <t>Сумма кредита:</t>
  </si>
  <si>
    <t>Процент:</t>
  </si>
  <si>
    <t>Срок (в месяцах):</t>
  </si>
  <si>
    <t>Начальный месяц:</t>
  </si>
  <si>
    <t>Начальный годr:</t>
  </si>
  <si>
    <t>Месяц</t>
  </si>
  <si>
    <t>N платежа</t>
  </si>
  <si>
    <t>Платеж</t>
  </si>
  <si>
    <t>Основная</t>
  </si>
  <si>
    <t>Остаток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</si>
</sst>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_);[Red]\(&quot;$&quot;#,##0\)"/>
    <numFmt numFmtId="165" formatCode="&quot;$&quot;#,##0.00_);[Red]\(&quot;$&quot;#,##0.00\)"/>
    <numFmt numFmtId="166" formatCode="&quot;Под &quot;0.00&quot;% годовых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4.9989318521683403E-2"/>
        <bgColor theme="6" tint="0.79998168889431442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164" fontId="0" fillId="0" borderId="0" xfId="0" applyNumberFormat="1"/>
    <xf numFmtId="17" fontId="0" fillId="0" borderId="0" xfId="0" applyNumberFormat="1"/>
    <xf numFmtId="10" fontId="0" fillId="0" borderId="0" xfId="1" applyNumberFormat="1" applyFont="1"/>
    <xf numFmtId="0" fontId="0" fillId="0" borderId="0" xfId="1" applyNumberFormat="1" applyFont="1"/>
    <xf numFmtId="9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7" fillId="2" borderId="1" xfId="2" applyFont="1" applyBorder="1" applyAlignment="1">
      <alignment horizontal="centerContinuous"/>
    </xf>
    <xf numFmtId="0" fontId="7" fillId="2" borderId="2" xfId="2" applyFont="1" applyBorder="1" applyAlignment="1">
      <alignment horizontal="centerContinuous"/>
    </xf>
    <xf numFmtId="0" fontId="7" fillId="2" borderId="3" xfId="2" applyFont="1" applyBorder="1" applyAlignment="1">
      <alignment horizontal="centerContinuous"/>
    </xf>
    <xf numFmtId="0" fontId="0" fillId="0" borderId="4" xfId="3" applyFont="1" applyFill="1" applyBorder="1"/>
    <xf numFmtId="0" fontId="0" fillId="0" borderId="0" xfId="3" applyFont="1" applyFill="1"/>
    <xf numFmtId="0" fontId="0" fillId="0" borderId="5" xfId="3" applyFont="1" applyFill="1" applyBorder="1"/>
    <xf numFmtId="0" fontId="0" fillId="0" borderId="0" xfId="3" applyFont="1" applyFill="1" applyAlignment="1">
      <alignment horizontal="right"/>
    </xf>
    <xf numFmtId="164" fontId="2" fillId="0" borderId="0" xfId="3" applyNumberFormat="1" applyFill="1"/>
    <xf numFmtId="0" fontId="0" fillId="0" borderId="0" xfId="3" applyFont="1" applyFill="1" applyAlignment="1">
      <alignment horizontal="center"/>
    </xf>
    <xf numFmtId="165" fontId="0" fillId="0" borderId="0" xfId="3" applyNumberFormat="1" applyFont="1" applyFill="1"/>
    <xf numFmtId="0" fontId="0" fillId="0" borderId="6" xfId="3" applyFont="1" applyFill="1" applyBorder="1"/>
    <xf numFmtId="0" fontId="0" fillId="0" borderId="7" xfId="3" applyFont="1" applyFill="1" applyBorder="1"/>
    <xf numFmtId="0" fontId="0" fillId="0" borderId="8" xfId="3" applyFont="1" applyFill="1" applyBorder="1"/>
    <xf numFmtId="0" fontId="4" fillId="2" borderId="4" xfId="2" applyBorder="1"/>
    <xf numFmtId="0" fontId="4" fillId="2" borderId="5" xfId="2" applyBorder="1"/>
    <xf numFmtId="0" fontId="3" fillId="0" borderId="0" xfId="3" applyFont="1" applyFill="1" applyAlignment="1">
      <alignment horizontal="right"/>
    </xf>
    <xf numFmtId="164" fontId="3" fillId="0" borderId="0" xfId="3" applyNumberFormat="1" applyFont="1" applyFill="1" applyAlignment="1" applyProtection="1">
      <alignment horizontal="center"/>
      <protection locked="0"/>
    </xf>
    <xf numFmtId="164" fontId="3" fillId="0" borderId="9" xfId="3" applyNumberFormat="1" applyFont="1" applyFill="1" applyBorder="1" applyAlignment="1" applyProtection="1">
      <alignment horizontal="center"/>
      <protection locked="0"/>
    </xf>
    <xf numFmtId="0" fontId="0" fillId="0" borderId="12" xfId="3" applyFont="1" applyFill="1" applyBorder="1"/>
    <xf numFmtId="0" fontId="0" fillId="0" borderId="13" xfId="3" applyFont="1" applyFill="1" applyBorder="1"/>
    <xf numFmtId="0" fontId="0" fillId="0" borderId="16" xfId="3" applyFont="1" applyFill="1" applyBorder="1"/>
    <xf numFmtId="0" fontId="0" fillId="0" borderId="17" xfId="3" applyFont="1" applyFill="1" applyBorder="1"/>
    <xf numFmtId="0" fontId="8" fillId="0" borderId="15" xfId="3" applyFont="1" applyFill="1" applyBorder="1"/>
    <xf numFmtId="0" fontId="8" fillId="0" borderId="11" xfId="3" applyFont="1" applyFill="1" applyBorder="1"/>
    <xf numFmtId="164" fontId="3" fillId="0" borderId="14" xfId="3" applyNumberFormat="1" applyFont="1" applyFill="1" applyBorder="1" applyAlignment="1">
      <alignment horizontal="center"/>
    </xf>
    <xf numFmtId="0" fontId="6" fillId="2" borderId="0" xfId="2" applyFont="1" applyAlignment="1">
      <alignment horizontal="right" vertical="center"/>
    </xf>
    <xf numFmtId="0" fontId="7" fillId="2" borderId="0" xfId="2" applyFont="1" applyAlignment="1">
      <alignment horizontal="right" vertical="center"/>
    </xf>
    <xf numFmtId="165" fontId="7" fillId="2" borderId="0" xfId="2" applyNumberFormat="1" applyFont="1" applyAlignment="1">
      <alignment horizontal="center" vertical="center"/>
    </xf>
    <xf numFmtId="0" fontId="6" fillId="0" borderId="0" xfId="0" applyFont="1" applyAlignment="1">
      <alignment horizontal="left"/>
    </xf>
    <xf numFmtId="0" fontId="0" fillId="4" borderId="4" xfId="3" applyFont="1" applyFill="1" applyBorder="1" applyProtection="1">
      <protection locked="0"/>
    </xf>
    <xf numFmtId="0" fontId="0" fillId="4" borderId="5" xfId="3" applyFont="1" applyFill="1" applyBorder="1"/>
    <xf numFmtId="0" fontId="0" fillId="4" borderId="4" xfId="3" applyFont="1" applyFill="1" applyBorder="1"/>
    <xf numFmtId="164" fontId="0" fillId="4" borderId="4" xfId="3" applyNumberFormat="1" applyFont="1" applyFill="1" applyBorder="1"/>
    <xf numFmtId="9" fontId="2" fillId="4" borderId="6" xfId="3" applyNumberFormat="1" applyFill="1" applyBorder="1"/>
    <xf numFmtId="0" fontId="0" fillId="4" borderId="8" xfId="3" applyFont="1" applyFill="1" applyBorder="1"/>
    <xf numFmtId="166" fontId="0" fillId="0" borderId="10" xfId="3" applyNumberFormat="1" applyFont="1" applyFill="1" applyBorder="1" applyAlignment="1">
      <alignment horizontal="center"/>
    </xf>
    <xf numFmtId="0" fontId="7" fillId="2" borderId="1" xfId="2" applyFont="1" applyBorder="1" applyAlignment="1">
      <alignment horizontal="center" vertical="center"/>
    </xf>
    <xf numFmtId="0" fontId="7" fillId="2" borderId="3" xfId="2" applyFont="1" applyBorder="1" applyAlignment="1">
      <alignment horizontal="center" vertical="center"/>
    </xf>
    <xf numFmtId="0" fontId="5" fillId="0" borderId="0" xfId="4" applyAlignment="1" applyProtection="1">
      <alignment horizontal="center"/>
    </xf>
  </cellXfs>
  <cellStyles count="5">
    <cellStyle name="20% — акцент3" xfId="3" builtinId="38" customBuiltin="1"/>
    <cellStyle name="Акцент2" xfId="2" builtinId="33" customBuiltin="1"/>
    <cellStyle name="Гиперссылка" xfId="4" builtinId="8"/>
    <cellStyle name="Обычный" xfId="0" builtinId="0"/>
    <cellStyle name="Процентный" xfId="1" builtinId="5"/>
  </cellStyles>
  <dxfs count="6">
    <dxf>
      <numFmt numFmtId="167" formatCode="\$#,##0.00_);[Red]\(\$#,##0.00\)"/>
    </dxf>
    <dxf>
      <numFmt numFmtId="167" formatCode="\$#,##0.00_);[Red]\(\$#,##0.00\)"/>
    </dxf>
    <dxf>
      <numFmt numFmtId="167" formatCode="\$#,##0.00_);[Red]\(\$#,##0.00\)"/>
    </dxf>
    <dxf>
      <numFmt numFmtId="167" formatCode="\$#,##0.00_);[Red]\(\$#,##0.00\)"/>
    </dxf>
    <dxf>
      <numFmt numFmtId="168" formatCode="mmm\-yy"/>
    </dxf>
    <dxf>
      <font>
        <b/>
        <u val="none"/>
        <vertAlign val="baseline"/>
        <sz val="12"/>
        <color theme="0"/>
        <name val="Calibri"/>
        <scheme val="minor"/>
      </font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161925</xdr:rowOff>
        </xdr:from>
        <xdr:to>
          <xdr:col>2</xdr:col>
          <xdr:colOff>1343025</xdr:colOff>
          <xdr:row>14</xdr:row>
          <xdr:rowOff>171450</xdr:rowOff>
        </xdr:to>
        <xdr:sp macro="" textlink="">
          <xdr:nvSpPr>
            <xdr:cNvPr id="1025" name="ScrollBa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7</xdr:row>
          <xdr:rowOff>47625</xdr:rowOff>
        </xdr:from>
        <xdr:to>
          <xdr:col>2</xdr:col>
          <xdr:colOff>942975</xdr:colOff>
          <xdr:row>8</xdr:row>
          <xdr:rowOff>66675</xdr:rowOff>
        </xdr:to>
        <xdr:sp macro="" textlink="">
          <xdr:nvSpPr>
            <xdr:cNvPr id="1026" name="Option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76200</xdr:rowOff>
        </xdr:from>
        <xdr:to>
          <xdr:col>2</xdr:col>
          <xdr:colOff>942975</xdr:colOff>
          <xdr:row>9</xdr:row>
          <xdr:rowOff>95250</xdr:rowOff>
        </xdr:to>
        <xdr:sp macro="" textlink="">
          <xdr:nvSpPr>
            <xdr:cNvPr id="1027" name="Option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104775</xdr:rowOff>
        </xdr:from>
        <xdr:to>
          <xdr:col>2</xdr:col>
          <xdr:colOff>942975</xdr:colOff>
          <xdr:row>10</xdr:row>
          <xdr:rowOff>133350</xdr:rowOff>
        </xdr:to>
        <xdr:sp macro="" textlink="">
          <xdr:nvSpPr>
            <xdr:cNvPr id="1028" name="Option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28575</xdr:rowOff>
        </xdr:from>
        <xdr:to>
          <xdr:col>4</xdr:col>
          <xdr:colOff>1190625</xdr:colOff>
          <xdr:row>8</xdr:row>
          <xdr:rowOff>85725</xdr:rowOff>
        </xdr:to>
        <xdr:sp macro="" textlink="">
          <xdr:nvSpPr>
            <xdr:cNvPr id="1029" name="Option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8</xdr:row>
          <xdr:rowOff>114300</xdr:rowOff>
        </xdr:from>
        <xdr:to>
          <xdr:col>4</xdr:col>
          <xdr:colOff>1076325</xdr:colOff>
          <xdr:row>9</xdr:row>
          <xdr:rowOff>171450</xdr:rowOff>
        </xdr:to>
        <xdr:sp macro="" textlink="">
          <xdr:nvSpPr>
            <xdr:cNvPr id="1030" name="Option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4</xdr:row>
          <xdr:rowOff>47625</xdr:rowOff>
        </xdr:from>
        <xdr:to>
          <xdr:col>4</xdr:col>
          <xdr:colOff>800100</xdr:colOff>
          <xdr:row>5</xdr:row>
          <xdr:rowOff>95250</xdr:rowOff>
        </xdr:to>
        <xdr:sp macro="" textlink="">
          <xdr:nvSpPr>
            <xdr:cNvPr id="1060" name="CheckBox1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9:F369" totalsRowShown="0" headerRowDxfId="5">
  <autoFilter ref="A9:F369" xr:uid="{00000000-0009-0000-0100-000001000000}"/>
  <tableColumns count="6">
    <tableColumn id="1" xr3:uid="{00000000-0010-0000-0000-000001000000}" name="Месяц" dataDxfId="4">
      <calculatedColumnFormula>DATE(YEAR(A9),MONTH(A9)+1,1)</calculatedColumnFormula>
    </tableColumn>
    <tableColumn id="2" xr3:uid="{00000000-0010-0000-0000-000002000000}" name="N платежа">
      <calculatedColumnFormula>B9+1</calculatedColumnFormula>
    </tableColumn>
    <tableColumn id="3" xr3:uid="{00000000-0010-0000-0000-000003000000}" name="Платеж" dataDxfId="3">
      <calculatedColumnFormula>-PMT($C$4/12,$C$5,$C$3,0)</calculatedColumnFormula>
    </tableColumn>
    <tableColumn id="4" xr3:uid="{00000000-0010-0000-0000-000004000000}" name="Основная" dataDxfId="2">
      <calculatedColumnFormula>C10-E10</calculatedColumnFormula>
    </tableColumn>
    <tableColumn id="5" xr3:uid="{00000000-0010-0000-0000-000005000000}" name="Процент" dataDxfId="1">
      <calculatedColumnFormula>($C$4/12)*F9</calculatedColumnFormula>
    </tableColumn>
    <tableColumn id="6" xr3:uid="{00000000-0010-0000-0000-000006000000}" name="Остаток" dataDxfId="0">
      <calculatedColumnFormula>F9-D10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20"/>
  <sheetViews>
    <sheetView showGridLines="0" tabSelected="1" workbookViewId="0">
      <selection activeCell="R34" sqref="R34"/>
    </sheetView>
  </sheetViews>
  <sheetFormatPr defaultRowHeight="15" x14ac:dyDescent="0.25"/>
  <cols>
    <col min="1" max="1" width="2.28515625" customWidth="1"/>
    <col min="2" max="2" width="3.140625" customWidth="1"/>
    <col min="3" max="3" width="23" customWidth="1"/>
    <col min="4" max="4" width="2.7109375" customWidth="1"/>
    <col min="5" max="5" width="18.28515625" customWidth="1"/>
    <col min="6" max="6" width="3.5703125" customWidth="1"/>
    <col min="7" max="7" width="3.28515625" customWidth="1"/>
    <col min="8" max="8" width="10.5703125" customWidth="1"/>
    <col min="9" max="9" width="25" customWidth="1"/>
  </cols>
  <sheetData>
    <row r="1" spans="2:9" ht="15.75" thickBot="1" x14ac:dyDescent="0.3"/>
    <row r="2" spans="2:9" ht="18.75" x14ac:dyDescent="0.3">
      <c r="B2" s="8" t="s">
        <v>9</v>
      </c>
      <c r="C2" s="9"/>
      <c r="D2" s="9"/>
      <c r="E2" s="9"/>
      <c r="F2" s="10"/>
      <c r="H2" s="44" t="s">
        <v>0</v>
      </c>
      <c r="I2" s="45"/>
    </row>
    <row r="3" spans="2:9" x14ac:dyDescent="0.25">
      <c r="B3" s="11"/>
      <c r="C3" s="12"/>
      <c r="D3" s="12"/>
      <c r="E3" s="12"/>
      <c r="F3" s="13"/>
      <c r="H3" s="37">
        <v>565</v>
      </c>
      <c r="I3" s="38" t="s">
        <v>1</v>
      </c>
    </row>
    <row r="4" spans="2:9" x14ac:dyDescent="0.25">
      <c r="B4" s="11"/>
      <c r="C4" s="23" t="s">
        <v>12</v>
      </c>
      <c r="D4" s="23"/>
      <c r="E4" s="25">
        <v>345000</v>
      </c>
      <c r="F4" s="13"/>
      <c r="H4" s="39">
        <f>H3/100</f>
        <v>5.65</v>
      </c>
      <c r="I4" s="38" t="s">
        <v>2</v>
      </c>
    </row>
    <row r="5" spans="2:9" x14ac:dyDescent="0.25">
      <c r="B5" s="11"/>
      <c r="C5" s="23"/>
      <c r="D5" s="23"/>
      <c r="E5" s="24"/>
      <c r="F5" s="13"/>
      <c r="H5" s="39"/>
      <c r="I5" s="38"/>
    </row>
    <row r="6" spans="2:9" x14ac:dyDescent="0.25">
      <c r="B6" s="11"/>
      <c r="C6" s="12"/>
      <c r="D6" s="12"/>
      <c r="E6" s="12"/>
      <c r="F6" s="13"/>
      <c r="H6" s="39" t="b">
        <v>1</v>
      </c>
      <c r="I6" s="38" t="s">
        <v>18</v>
      </c>
    </row>
    <row r="7" spans="2:9" x14ac:dyDescent="0.25">
      <c r="B7" s="11"/>
      <c r="C7" s="30" t="s">
        <v>13</v>
      </c>
      <c r="D7" s="12"/>
      <c r="E7" s="31" t="s">
        <v>14</v>
      </c>
      <c r="F7" s="13"/>
      <c r="H7" s="40">
        <f>IF(H6,E4-(E4*H16)+5000,E4-(E4*H16))</f>
        <v>298250</v>
      </c>
      <c r="I7" s="38" t="s">
        <v>10</v>
      </c>
    </row>
    <row r="8" spans="2:9" x14ac:dyDescent="0.25">
      <c r="B8" s="11"/>
      <c r="C8" s="28"/>
      <c r="D8" s="12"/>
      <c r="E8" s="26"/>
      <c r="F8" s="13"/>
      <c r="H8" s="21"/>
      <c r="I8" s="22"/>
    </row>
    <row r="9" spans="2:9" x14ac:dyDescent="0.25">
      <c r="B9" s="11"/>
      <c r="C9" s="28"/>
      <c r="D9" s="12"/>
      <c r="E9" s="26"/>
      <c r="F9" s="13"/>
      <c r="H9" s="37" t="b">
        <v>0</v>
      </c>
      <c r="I9" s="38" t="s">
        <v>3</v>
      </c>
    </row>
    <row r="10" spans="2:9" x14ac:dyDescent="0.25">
      <c r="B10" s="11"/>
      <c r="C10" s="28"/>
      <c r="D10" s="12"/>
      <c r="E10" s="26"/>
      <c r="F10" s="13"/>
      <c r="H10" s="37" t="b">
        <v>1</v>
      </c>
      <c r="I10" s="38" t="s">
        <v>4</v>
      </c>
    </row>
    <row r="11" spans="2:9" x14ac:dyDescent="0.25">
      <c r="B11" s="11"/>
      <c r="C11" s="29"/>
      <c r="D11" s="12"/>
      <c r="E11" s="27"/>
      <c r="F11" s="13"/>
      <c r="H11" s="39">
        <f>IF(H9,30,15)</f>
        <v>15</v>
      </c>
      <c r="I11" s="38" t="s">
        <v>11</v>
      </c>
    </row>
    <row r="12" spans="2:9" x14ac:dyDescent="0.25">
      <c r="B12" s="11"/>
      <c r="C12" s="12"/>
      <c r="D12" s="12"/>
      <c r="E12" s="12"/>
      <c r="F12" s="13"/>
      <c r="H12" s="21"/>
      <c r="I12" s="22"/>
    </row>
    <row r="13" spans="2:9" x14ac:dyDescent="0.25">
      <c r="B13" s="11"/>
      <c r="C13" s="23" t="s">
        <v>15</v>
      </c>
      <c r="D13" s="23"/>
      <c r="E13" s="32">
        <f>H7</f>
        <v>298250</v>
      </c>
      <c r="F13" s="13"/>
      <c r="H13" s="37" t="b">
        <v>0</v>
      </c>
      <c r="I13" s="38" t="s">
        <v>5</v>
      </c>
    </row>
    <row r="14" spans="2:9" x14ac:dyDescent="0.25">
      <c r="B14" s="11"/>
      <c r="C14" s="14"/>
      <c r="D14" s="14"/>
      <c r="E14" s="15"/>
      <c r="F14" s="13"/>
      <c r="H14" s="37" t="b">
        <v>1</v>
      </c>
      <c r="I14" s="38" t="s">
        <v>6</v>
      </c>
    </row>
    <row r="15" spans="2:9" x14ac:dyDescent="0.25">
      <c r="B15" s="11"/>
      <c r="C15" s="12"/>
      <c r="D15" s="12"/>
      <c r="E15" s="43">
        <f>H4</f>
        <v>5.65</v>
      </c>
      <c r="F15" s="13"/>
      <c r="H15" s="37" t="b">
        <v>0</v>
      </c>
      <c r="I15" s="38" t="s">
        <v>7</v>
      </c>
    </row>
    <row r="16" spans="2:9" ht="15.75" thickBot="1" x14ac:dyDescent="0.3">
      <c r="B16" s="11"/>
      <c r="C16" s="16"/>
      <c r="D16" s="16"/>
      <c r="E16" s="12"/>
      <c r="F16" s="13"/>
      <c r="H16" s="41">
        <f>IF(H13,0.1,IF(H14,0.15,0.2))</f>
        <v>0.15</v>
      </c>
      <c r="I16" s="42" t="s">
        <v>8</v>
      </c>
    </row>
    <row r="17" spans="2:8" ht="19.5" customHeight="1" x14ac:dyDescent="0.25">
      <c r="B17" s="11"/>
      <c r="C17" s="33" t="s">
        <v>16</v>
      </c>
      <c r="D17" s="34"/>
      <c r="E17" s="35">
        <f>-PMT((H4/100)/12,H11*12,H7,0)</f>
        <v>2460.7562923616729</v>
      </c>
      <c r="F17" s="13"/>
      <c r="H17" s="7"/>
    </row>
    <row r="18" spans="2:8" x14ac:dyDescent="0.25">
      <c r="B18" s="11"/>
      <c r="C18" s="14"/>
      <c r="D18" s="14"/>
      <c r="E18" s="17"/>
      <c r="F18" s="13"/>
    </row>
    <row r="19" spans="2:8" x14ac:dyDescent="0.25">
      <c r="B19" s="11"/>
      <c r="C19" s="46" t="s">
        <v>17</v>
      </c>
      <c r="D19" s="46"/>
      <c r="E19" s="46"/>
      <c r="F19" s="13"/>
    </row>
    <row r="20" spans="2:8" ht="10.5" customHeight="1" thickBot="1" x14ac:dyDescent="0.3">
      <c r="B20" s="18"/>
      <c r="C20" s="19"/>
      <c r="D20" s="19"/>
      <c r="E20" s="19"/>
      <c r="F20" s="20"/>
    </row>
  </sheetData>
  <mergeCells count="2">
    <mergeCell ref="H2:I2"/>
    <mergeCell ref="C19:E19"/>
  </mergeCells>
  <phoneticPr fontId="0" type="noConversion"/>
  <hyperlinks>
    <hyperlink ref="C19:E19" location="Выплаты!A1" display="График выплат" xr:uid="{00000000-0004-0000-0000-000000000000}"/>
  </hyperlinks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1060" r:id="rId4" name="CheckBox1">
          <controlPr defaultSize="0" autoLine="0" linkedCell="H6" r:id="rId5">
            <anchor moveWithCells="1">
              <from>
                <xdr:col>2</xdr:col>
                <xdr:colOff>409575</xdr:colOff>
                <xdr:row>4</xdr:row>
                <xdr:rowOff>47625</xdr:rowOff>
              </from>
              <to>
                <xdr:col>4</xdr:col>
                <xdr:colOff>847725</xdr:colOff>
                <xdr:row>5</xdr:row>
                <xdr:rowOff>85725</xdr:rowOff>
              </to>
            </anchor>
          </controlPr>
        </control>
      </mc:Choice>
      <mc:Fallback>
        <control shapeId="1060" r:id="rId4" name="CheckBox1"/>
      </mc:Fallback>
    </mc:AlternateContent>
    <mc:AlternateContent xmlns:mc="http://schemas.openxmlformats.org/markup-compatibility/2006">
      <mc:Choice Requires="x14">
        <control shapeId="1025" r:id="rId6" name="ScrollBar1">
          <controlPr defaultSize="0" autoLine="0" linkedCell="H3" r:id="rId7">
            <anchor moveWithCells="1">
              <from>
                <xdr:col>2</xdr:col>
                <xdr:colOff>28575</xdr:colOff>
                <xdr:row>13</xdr:row>
                <xdr:rowOff>161925</xdr:rowOff>
              </from>
              <to>
                <xdr:col>2</xdr:col>
                <xdr:colOff>1343025</xdr:colOff>
                <xdr:row>14</xdr:row>
                <xdr:rowOff>171450</xdr:rowOff>
              </to>
            </anchor>
          </controlPr>
        </control>
      </mc:Choice>
      <mc:Fallback>
        <control shapeId="1025" r:id="rId6" name="ScrollBar1"/>
      </mc:Fallback>
    </mc:AlternateContent>
    <mc:AlternateContent xmlns:mc="http://schemas.openxmlformats.org/markup-compatibility/2006">
      <mc:Choice Requires="x14">
        <control shapeId="1026" r:id="rId8" name="OptionButton1">
          <controlPr defaultSize="0" autoLine="0" linkedCell="H13" r:id="rId9">
            <anchor moveWithCells="1">
              <from>
                <xdr:col>2</xdr:col>
                <xdr:colOff>257175</xdr:colOff>
                <xdr:row>7</xdr:row>
                <xdr:rowOff>47625</xdr:rowOff>
              </from>
              <to>
                <xdr:col>2</xdr:col>
                <xdr:colOff>942975</xdr:colOff>
                <xdr:row>8</xdr:row>
                <xdr:rowOff>66675</xdr:rowOff>
              </to>
            </anchor>
          </controlPr>
        </control>
      </mc:Choice>
      <mc:Fallback>
        <control shapeId="1026" r:id="rId8" name="OptionButton1"/>
      </mc:Fallback>
    </mc:AlternateContent>
    <mc:AlternateContent xmlns:mc="http://schemas.openxmlformats.org/markup-compatibility/2006">
      <mc:Choice Requires="x14">
        <control shapeId="1027" r:id="rId10" name="OptionButton2">
          <controlPr defaultSize="0" autoLine="0" linkedCell="H14" r:id="rId11">
            <anchor moveWithCells="1">
              <from>
                <xdr:col>2</xdr:col>
                <xdr:colOff>257175</xdr:colOff>
                <xdr:row>8</xdr:row>
                <xdr:rowOff>76200</xdr:rowOff>
              </from>
              <to>
                <xdr:col>2</xdr:col>
                <xdr:colOff>942975</xdr:colOff>
                <xdr:row>9</xdr:row>
                <xdr:rowOff>95250</xdr:rowOff>
              </to>
            </anchor>
          </controlPr>
        </control>
      </mc:Choice>
      <mc:Fallback>
        <control shapeId="1027" r:id="rId10" name="OptionButton2"/>
      </mc:Fallback>
    </mc:AlternateContent>
    <mc:AlternateContent xmlns:mc="http://schemas.openxmlformats.org/markup-compatibility/2006">
      <mc:Choice Requires="x14">
        <control shapeId="1028" r:id="rId12" name="OptionButton3">
          <controlPr defaultSize="0" autoLine="0" linkedCell="H15" r:id="rId13">
            <anchor moveWithCells="1">
              <from>
                <xdr:col>2</xdr:col>
                <xdr:colOff>257175</xdr:colOff>
                <xdr:row>9</xdr:row>
                <xdr:rowOff>104775</xdr:rowOff>
              </from>
              <to>
                <xdr:col>2</xdr:col>
                <xdr:colOff>942975</xdr:colOff>
                <xdr:row>10</xdr:row>
                <xdr:rowOff>123825</xdr:rowOff>
              </to>
            </anchor>
          </controlPr>
        </control>
      </mc:Choice>
      <mc:Fallback>
        <control shapeId="1028" r:id="rId12" name="OptionButton3"/>
      </mc:Fallback>
    </mc:AlternateContent>
    <mc:AlternateContent xmlns:mc="http://schemas.openxmlformats.org/markup-compatibility/2006">
      <mc:Choice Requires="x14">
        <control shapeId="1029" r:id="rId14" name="OptionButton4">
          <controlPr defaultSize="0" autoLine="0" linkedCell="H9" r:id="rId15">
            <anchor moveWithCells="1">
              <from>
                <xdr:col>4</xdr:col>
                <xdr:colOff>76200</xdr:colOff>
                <xdr:row>7</xdr:row>
                <xdr:rowOff>28575</xdr:rowOff>
              </from>
              <to>
                <xdr:col>4</xdr:col>
                <xdr:colOff>1190625</xdr:colOff>
                <xdr:row>8</xdr:row>
                <xdr:rowOff>76200</xdr:rowOff>
              </to>
            </anchor>
          </controlPr>
        </control>
      </mc:Choice>
      <mc:Fallback>
        <control shapeId="1029" r:id="rId14" name="OptionButton4"/>
      </mc:Fallback>
    </mc:AlternateContent>
    <mc:AlternateContent xmlns:mc="http://schemas.openxmlformats.org/markup-compatibility/2006">
      <mc:Choice Requires="x14">
        <control shapeId="1030" r:id="rId16" name="OptionButton5">
          <controlPr defaultSize="0" autoLine="0" linkedCell="H10" r:id="rId17">
            <anchor moveWithCells="1">
              <from>
                <xdr:col>4</xdr:col>
                <xdr:colOff>76200</xdr:colOff>
                <xdr:row>8</xdr:row>
                <xdr:rowOff>114300</xdr:rowOff>
              </from>
              <to>
                <xdr:col>4</xdr:col>
                <xdr:colOff>1076325</xdr:colOff>
                <xdr:row>9</xdr:row>
                <xdr:rowOff>161925</xdr:rowOff>
              </to>
            </anchor>
          </controlPr>
        </control>
      </mc:Choice>
      <mc:Fallback>
        <control shapeId="1030" r:id="rId16" name="Option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70"/>
  <sheetViews>
    <sheetView showGridLines="0" workbookViewId="0"/>
  </sheetViews>
  <sheetFormatPr defaultRowHeight="15" x14ac:dyDescent="0.25"/>
  <cols>
    <col min="1" max="1" width="18.42578125" customWidth="1"/>
    <col min="2" max="2" width="11.140625" customWidth="1"/>
    <col min="3" max="3" width="10.28515625" customWidth="1"/>
    <col min="4" max="4" width="11.7109375" customWidth="1"/>
    <col min="5" max="5" width="12.140625" customWidth="1"/>
    <col min="6" max="6" width="17" customWidth="1"/>
    <col min="7" max="7" width="10.7109375" customWidth="1"/>
  </cols>
  <sheetData>
    <row r="1" spans="1:7" x14ac:dyDescent="0.25">
      <c r="A1" t="s">
        <v>12</v>
      </c>
      <c r="C1" s="1">
        <f>Параметры!E4</f>
        <v>345000</v>
      </c>
    </row>
    <row r="2" spans="1:7" x14ac:dyDescent="0.25">
      <c r="A2" t="s">
        <v>19</v>
      </c>
      <c r="C2" s="5">
        <f>Параметры!H16</f>
        <v>0.15</v>
      </c>
    </row>
    <row r="3" spans="1:7" x14ac:dyDescent="0.25">
      <c r="A3" t="s">
        <v>20</v>
      </c>
      <c r="C3" s="1">
        <f>Параметры!H7</f>
        <v>298250</v>
      </c>
    </row>
    <row r="4" spans="1:7" x14ac:dyDescent="0.25">
      <c r="A4" t="s">
        <v>21</v>
      </c>
      <c r="C4" s="3">
        <f>Параметры!H4/100</f>
        <v>5.6500000000000002E-2</v>
      </c>
    </row>
    <row r="5" spans="1:7" x14ac:dyDescent="0.25">
      <c r="A5" t="s">
        <v>22</v>
      </c>
      <c r="C5" s="4">
        <f>Параметры!H11*12</f>
        <v>180</v>
      </c>
    </row>
    <row r="6" spans="1:7" x14ac:dyDescent="0.25">
      <c r="A6" t="s">
        <v>23</v>
      </c>
      <c r="C6">
        <f ca="1">MONTH(NOW())</f>
        <v>3</v>
      </c>
    </row>
    <row r="7" spans="1:7" x14ac:dyDescent="0.25">
      <c r="A7" t="s">
        <v>24</v>
      </c>
      <c r="C7">
        <f ca="1">YEAR(NOW())</f>
        <v>2019</v>
      </c>
    </row>
    <row r="9" spans="1:7" ht="15.75" x14ac:dyDescent="0.25">
      <c r="A9" s="36" t="s">
        <v>25</v>
      </c>
      <c r="B9" s="36" t="s">
        <v>26</v>
      </c>
      <c r="C9" s="36" t="s">
        <v>27</v>
      </c>
      <c r="D9" s="36" t="s">
        <v>28</v>
      </c>
      <c r="E9" s="36" t="s">
        <v>2</v>
      </c>
      <c r="F9" s="36" t="s">
        <v>29</v>
      </c>
    </row>
    <row r="10" spans="1:7" x14ac:dyDescent="0.25">
      <c r="A10" s="2">
        <f ca="1">DATE($C$7,$C$6,1)</f>
        <v>43525</v>
      </c>
      <c r="B10">
        <v>1</v>
      </c>
      <c r="C10" s="6">
        <f>-PMT($C$4/12,$C$5,$C$3,0)</f>
        <v>2460.7562923616729</v>
      </c>
      <c r="D10" s="6">
        <f>C10-E10</f>
        <v>1056.4958756950061</v>
      </c>
      <c r="E10" s="6">
        <f>($C$4/12)*C3</f>
        <v>1404.2604166666667</v>
      </c>
      <c r="F10" s="6">
        <f>C3-D10</f>
        <v>297193.50412430498</v>
      </c>
      <c r="G10" s="6"/>
    </row>
    <row r="11" spans="1:7" x14ac:dyDescent="0.25">
      <c r="A11" s="2">
        <f ca="1">DATE(YEAR(A10),MONTH(A10)+1,1)</f>
        <v>43556</v>
      </c>
      <c r="B11">
        <f>B10+1</f>
        <v>2</v>
      </c>
      <c r="C11" s="6">
        <f t="shared" ref="C11:C74" si="0">-PMT($C$4/12,$C$5,$C$3,0)</f>
        <v>2460.7562923616729</v>
      </c>
      <c r="D11" s="6">
        <f t="shared" ref="D11:D74" si="1">C11-E11</f>
        <v>1061.4702104430703</v>
      </c>
      <c r="E11" s="6">
        <f>($C$4/12)*F10</f>
        <v>1399.2860819186026</v>
      </c>
      <c r="F11" s="6">
        <f>F10-D11</f>
        <v>296132.0339138619</v>
      </c>
      <c r="G11" s="6"/>
    </row>
    <row r="12" spans="1:7" x14ac:dyDescent="0.25">
      <c r="A12" s="2">
        <f t="shared" ref="A12:A75" ca="1" si="2">DATE(YEAR(A11),MONTH(A11)+1,1)</f>
        <v>43586</v>
      </c>
      <c r="B12">
        <f t="shared" ref="B12:B75" si="3">B11+1</f>
        <v>3</v>
      </c>
      <c r="C12" s="6">
        <f t="shared" si="0"/>
        <v>2460.7562923616729</v>
      </c>
      <c r="D12" s="6">
        <f t="shared" si="1"/>
        <v>1066.4679660172396</v>
      </c>
      <c r="E12" s="6">
        <f t="shared" ref="E12:E75" si="4">($C$4/12)*F11</f>
        <v>1394.2883263444332</v>
      </c>
      <c r="F12" s="6">
        <f>F11-D12</f>
        <v>295065.56594784465</v>
      </c>
      <c r="G12" s="6"/>
    </row>
    <row r="13" spans="1:7" x14ac:dyDescent="0.25">
      <c r="A13" s="2">
        <f t="shared" ca="1" si="2"/>
        <v>43617</v>
      </c>
      <c r="B13">
        <f t="shared" si="3"/>
        <v>4</v>
      </c>
      <c r="C13" s="6">
        <f t="shared" si="0"/>
        <v>2460.7562923616729</v>
      </c>
      <c r="D13" s="6">
        <f t="shared" si="1"/>
        <v>1071.489252690571</v>
      </c>
      <c r="E13" s="6">
        <f t="shared" si="4"/>
        <v>1389.2670396711019</v>
      </c>
      <c r="F13" s="6">
        <f>F12-D13</f>
        <v>293994.07669515407</v>
      </c>
      <c r="G13" s="6"/>
    </row>
    <row r="14" spans="1:7" x14ac:dyDescent="0.25">
      <c r="A14" s="2">
        <f t="shared" ca="1" si="2"/>
        <v>43647</v>
      </c>
      <c r="B14">
        <f t="shared" si="3"/>
        <v>5</v>
      </c>
      <c r="C14" s="6">
        <f t="shared" si="0"/>
        <v>2460.7562923616729</v>
      </c>
      <c r="D14" s="6">
        <f t="shared" si="1"/>
        <v>1076.5341812553224</v>
      </c>
      <c r="E14" s="6">
        <f t="shared" si="4"/>
        <v>1384.2221111063504</v>
      </c>
      <c r="F14" s="6">
        <f t="shared" ref="F14:F77" si="5">F13-D14</f>
        <v>292917.54251389875</v>
      </c>
      <c r="G14" s="6"/>
    </row>
    <row r="15" spans="1:7" x14ac:dyDescent="0.25">
      <c r="A15" s="2">
        <f t="shared" ca="1" si="2"/>
        <v>43678</v>
      </c>
      <c r="B15">
        <f t="shared" si="3"/>
        <v>6</v>
      </c>
      <c r="C15" s="6">
        <f t="shared" si="0"/>
        <v>2460.7562923616729</v>
      </c>
      <c r="D15" s="6">
        <f t="shared" si="1"/>
        <v>1081.6028630253995</v>
      </c>
      <c r="E15" s="6">
        <f t="shared" si="4"/>
        <v>1379.1534293362733</v>
      </c>
      <c r="F15" s="6">
        <f t="shared" si="5"/>
        <v>291835.93965087336</v>
      </c>
      <c r="G15" s="6"/>
    </row>
    <row r="16" spans="1:7" x14ac:dyDescent="0.25">
      <c r="A16" s="2">
        <f t="shared" ca="1" si="2"/>
        <v>43709</v>
      </c>
      <c r="B16">
        <f t="shared" si="3"/>
        <v>7</v>
      </c>
      <c r="C16" s="6">
        <f t="shared" si="0"/>
        <v>2460.7562923616729</v>
      </c>
      <c r="D16" s="6">
        <f t="shared" si="1"/>
        <v>1086.6954098388107</v>
      </c>
      <c r="E16" s="6">
        <f t="shared" si="4"/>
        <v>1374.0608825228621</v>
      </c>
      <c r="F16" s="6">
        <f t="shared" si="5"/>
        <v>290749.24424103455</v>
      </c>
      <c r="G16" s="6"/>
    </row>
    <row r="17" spans="1:7" x14ac:dyDescent="0.25">
      <c r="A17" s="2">
        <f t="shared" ca="1" si="2"/>
        <v>43739</v>
      </c>
      <c r="B17">
        <f t="shared" si="3"/>
        <v>8</v>
      </c>
      <c r="C17" s="6">
        <f t="shared" si="0"/>
        <v>2460.7562923616729</v>
      </c>
      <c r="D17" s="6">
        <f t="shared" si="1"/>
        <v>1091.8119340601352</v>
      </c>
      <c r="E17" s="6">
        <f t="shared" si="4"/>
        <v>1368.9443583015377</v>
      </c>
      <c r="F17" s="6">
        <f t="shared" si="5"/>
        <v>289657.43230697443</v>
      </c>
      <c r="G17" s="6"/>
    </row>
    <row r="18" spans="1:7" x14ac:dyDescent="0.25">
      <c r="A18" s="2">
        <f t="shared" ca="1" si="2"/>
        <v>43770</v>
      </c>
      <c r="B18">
        <f t="shared" si="3"/>
        <v>9</v>
      </c>
      <c r="C18" s="6">
        <f t="shared" si="0"/>
        <v>2460.7562923616729</v>
      </c>
      <c r="D18" s="6">
        <f t="shared" si="1"/>
        <v>1096.9525485830015</v>
      </c>
      <c r="E18" s="6">
        <f t="shared" si="4"/>
        <v>1363.8037437786713</v>
      </c>
      <c r="F18" s="6">
        <f t="shared" si="5"/>
        <v>288560.47975839145</v>
      </c>
      <c r="G18" s="6"/>
    </row>
    <row r="19" spans="1:7" x14ac:dyDescent="0.25">
      <c r="A19" s="2">
        <f t="shared" ca="1" si="2"/>
        <v>43800</v>
      </c>
      <c r="B19">
        <f t="shared" si="3"/>
        <v>10</v>
      </c>
      <c r="C19" s="6">
        <f t="shared" si="0"/>
        <v>2460.7562923616729</v>
      </c>
      <c r="D19" s="6">
        <f t="shared" si="1"/>
        <v>1102.1173668325798</v>
      </c>
      <c r="E19" s="6">
        <f t="shared" si="4"/>
        <v>1358.6389255290931</v>
      </c>
      <c r="F19" s="6">
        <f t="shared" si="5"/>
        <v>287458.36239155888</v>
      </c>
      <c r="G19" s="6"/>
    </row>
    <row r="20" spans="1:7" x14ac:dyDescent="0.25">
      <c r="A20" s="2">
        <f t="shared" ca="1" si="2"/>
        <v>43831</v>
      </c>
      <c r="B20">
        <f t="shared" si="3"/>
        <v>11</v>
      </c>
      <c r="C20" s="6">
        <f t="shared" si="0"/>
        <v>2460.7562923616729</v>
      </c>
      <c r="D20" s="6">
        <f t="shared" si="1"/>
        <v>1107.3065027680832</v>
      </c>
      <c r="E20" s="6">
        <f t="shared" si="4"/>
        <v>1353.4497895935897</v>
      </c>
      <c r="F20" s="6">
        <f t="shared" si="5"/>
        <v>286351.05588879081</v>
      </c>
      <c r="G20" s="6"/>
    </row>
    <row r="21" spans="1:7" x14ac:dyDescent="0.25">
      <c r="A21" s="2">
        <f t="shared" ca="1" si="2"/>
        <v>43862</v>
      </c>
      <c r="B21">
        <f t="shared" si="3"/>
        <v>12</v>
      </c>
      <c r="C21" s="6">
        <f t="shared" si="0"/>
        <v>2460.7562923616729</v>
      </c>
      <c r="D21" s="6">
        <f t="shared" si="1"/>
        <v>1112.5200708852828</v>
      </c>
      <c r="E21" s="6">
        <f t="shared" si="4"/>
        <v>1348.23622147639</v>
      </c>
      <c r="F21" s="6">
        <f t="shared" si="5"/>
        <v>285238.5358179055</v>
      </c>
      <c r="G21" s="6"/>
    </row>
    <row r="22" spans="1:7" x14ac:dyDescent="0.25">
      <c r="A22" s="2">
        <f t="shared" ca="1" si="2"/>
        <v>43891</v>
      </c>
      <c r="B22">
        <f t="shared" si="3"/>
        <v>13</v>
      </c>
      <c r="C22" s="6">
        <f t="shared" si="0"/>
        <v>2460.7562923616729</v>
      </c>
      <c r="D22" s="6">
        <f t="shared" si="1"/>
        <v>1117.7581862190343</v>
      </c>
      <c r="E22" s="6">
        <f t="shared" si="4"/>
        <v>1342.9981061426386</v>
      </c>
      <c r="F22" s="6">
        <f t="shared" si="5"/>
        <v>284120.77763168648</v>
      </c>
      <c r="G22" s="6"/>
    </row>
    <row r="23" spans="1:7" x14ac:dyDescent="0.25">
      <c r="A23" s="2">
        <f t="shared" ca="1" si="2"/>
        <v>43922</v>
      </c>
      <c r="B23">
        <f t="shared" si="3"/>
        <v>14</v>
      </c>
      <c r="C23" s="6">
        <f t="shared" si="0"/>
        <v>2460.7562923616729</v>
      </c>
      <c r="D23" s="6">
        <f t="shared" si="1"/>
        <v>1123.0209643458156</v>
      </c>
      <c r="E23" s="6">
        <f t="shared" si="4"/>
        <v>1337.7353280158572</v>
      </c>
      <c r="F23" s="6">
        <f t="shared" si="5"/>
        <v>282997.75666734064</v>
      </c>
      <c r="G23" s="6"/>
    </row>
    <row r="24" spans="1:7" x14ac:dyDescent="0.25">
      <c r="A24" s="2">
        <f t="shared" ca="1" si="2"/>
        <v>43952</v>
      </c>
      <c r="B24">
        <f t="shared" si="3"/>
        <v>15</v>
      </c>
      <c r="C24" s="6">
        <f t="shared" si="0"/>
        <v>2460.7562923616729</v>
      </c>
      <c r="D24" s="6">
        <f t="shared" si="1"/>
        <v>1128.3085213862773</v>
      </c>
      <c r="E24" s="6">
        <f t="shared" si="4"/>
        <v>1332.4477709753955</v>
      </c>
      <c r="F24" s="6">
        <f t="shared" si="5"/>
        <v>281869.44814595435</v>
      </c>
      <c r="G24" s="6"/>
    </row>
    <row r="25" spans="1:7" x14ac:dyDescent="0.25">
      <c r="A25" s="2">
        <f t="shared" ca="1" si="2"/>
        <v>43983</v>
      </c>
      <c r="B25">
        <f t="shared" si="3"/>
        <v>16</v>
      </c>
      <c r="C25" s="6">
        <f t="shared" si="0"/>
        <v>2460.7562923616729</v>
      </c>
      <c r="D25" s="6">
        <f t="shared" si="1"/>
        <v>1133.6209740078045</v>
      </c>
      <c r="E25" s="6">
        <f t="shared" si="4"/>
        <v>1327.1353183538683</v>
      </c>
      <c r="F25" s="6">
        <f t="shared" si="5"/>
        <v>280735.82717194653</v>
      </c>
      <c r="G25" s="6"/>
    </row>
    <row r="26" spans="1:7" x14ac:dyDescent="0.25">
      <c r="A26" s="2">
        <f t="shared" ca="1" si="2"/>
        <v>44013</v>
      </c>
      <c r="B26">
        <f t="shared" si="3"/>
        <v>17</v>
      </c>
      <c r="C26" s="6">
        <f t="shared" si="0"/>
        <v>2460.7562923616729</v>
      </c>
      <c r="D26" s="6">
        <f t="shared" si="1"/>
        <v>1138.9584394270912</v>
      </c>
      <c r="E26" s="6">
        <f t="shared" si="4"/>
        <v>1321.7978529345817</v>
      </c>
      <c r="F26" s="6">
        <f t="shared" si="5"/>
        <v>279596.86873251945</v>
      </c>
      <c r="G26" s="6"/>
    </row>
    <row r="27" spans="1:7" x14ac:dyDescent="0.25">
      <c r="A27" s="2">
        <f t="shared" ca="1" si="2"/>
        <v>44044</v>
      </c>
      <c r="B27">
        <f t="shared" si="3"/>
        <v>18</v>
      </c>
      <c r="C27" s="6">
        <f t="shared" si="0"/>
        <v>2460.7562923616729</v>
      </c>
      <c r="D27" s="6">
        <f t="shared" si="1"/>
        <v>1144.321035412727</v>
      </c>
      <c r="E27" s="6">
        <f t="shared" si="4"/>
        <v>1316.4352569489458</v>
      </c>
      <c r="F27" s="6">
        <f t="shared" si="5"/>
        <v>278452.54769710673</v>
      </c>
      <c r="G27" s="6"/>
    </row>
    <row r="28" spans="1:7" x14ac:dyDescent="0.25">
      <c r="A28" s="2">
        <f t="shared" ca="1" si="2"/>
        <v>44075</v>
      </c>
      <c r="B28">
        <f t="shared" si="3"/>
        <v>19</v>
      </c>
      <c r="C28" s="6">
        <f t="shared" si="0"/>
        <v>2460.7562923616729</v>
      </c>
      <c r="D28" s="6">
        <f t="shared" si="1"/>
        <v>1149.7088802877954</v>
      </c>
      <c r="E28" s="6">
        <f t="shared" si="4"/>
        <v>1311.0474120738775</v>
      </c>
      <c r="F28" s="6">
        <f t="shared" si="5"/>
        <v>277302.83881681896</v>
      </c>
      <c r="G28" s="6"/>
    </row>
    <row r="29" spans="1:7" x14ac:dyDescent="0.25">
      <c r="A29" s="2">
        <f t="shared" ca="1" si="2"/>
        <v>44105</v>
      </c>
      <c r="B29">
        <f t="shared" si="3"/>
        <v>20</v>
      </c>
      <c r="C29" s="6">
        <f t="shared" si="0"/>
        <v>2460.7562923616729</v>
      </c>
      <c r="D29" s="6">
        <f t="shared" si="1"/>
        <v>1155.1220929324836</v>
      </c>
      <c r="E29" s="6">
        <f t="shared" si="4"/>
        <v>1305.6341994291893</v>
      </c>
      <c r="F29" s="6">
        <f t="shared" si="5"/>
        <v>276147.71672388649</v>
      </c>
      <c r="G29" s="6"/>
    </row>
    <row r="30" spans="1:7" x14ac:dyDescent="0.25">
      <c r="A30" s="2">
        <f t="shared" ca="1" si="2"/>
        <v>44136</v>
      </c>
      <c r="B30">
        <f t="shared" si="3"/>
        <v>21</v>
      </c>
      <c r="C30" s="6">
        <f t="shared" si="0"/>
        <v>2460.7562923616729</v>
      </c>
      <c r="D30" s="6">
        <f t="shared" si="1"/>
        <v>1160.5607927867072</v>
      </c>
      <c r="E30" s="6">
        <f t="shared" si="4"/>
        <v>1300.1954995749657</v>
      </c>
      <c r="F30" s="6">
        <f t="shared" si="5"/>
        <v>274987.15593109978</v>
      </c>
      <c r="G30" s="6"/>
    </row>
    <row r="31" spans="1:7" x14ac:dyDescent="0.25">
      <c r="A31" s="2">
        <f t="shared" ca="1" si="2"/>
        <v>44166</v>
      </c>
      <c r="B31">
        <f t="shared" si="3"/>
        <v>22</v>
      </c>
      <c r="C31" s="6">
        <f t="shared" si="0"/>
        <v>2460.7562923616729</v>
      </c>
      <c r="D31" s="6">
        <f t="shared" si="1"/>
        <v>1166.0250998527447</v>
      </c>
      <c r="E31" s="6">
        <f t="shared" si="4"/>
        <v>1294.7311925089282</v>
      </c>
      <c r="F31" s="6">
        <f t="shared" si="5"/>
        <v>273821.13083124702</v>
      </c>
      <c r="G31" s="6"/>
    </row>
    <row r="32" spans="1:7" x14ac:dyDescent="0.25">
      <c r="A32" s="2">
        <f t="shared" ca="1" si="2"/>
        <v>44197</v>
      </c>
      <c r="B32">
        <f t="shared" si="3"/>
        <v>23</v>
      </c>
      <c r="C32" s="6">
        <f t="shared" si="0"/>
        <v>2460.7562923616729</v>
      </c>
      <c r="D32" s="6">
        <f t="shared" si="1"/>
        <v>1171.5151346978848</v>
      </c>
      <c r="E32" s="6">
        <f t="shared" si="4"/>
        <v>1289.241157663788</v>
      </c>
      <c r="F32" s="6">
        <f t="shared" si="5"/>
        <v>272649.61569654912</v>
      </c>
      <c r="G32" s="6"/>
    </row>
    <row r="33" spans="1:7" x14ac:dyDescent="0.25">
      <c r="A33" s="2">
        <f t="shared" ca="1" si="2"/>
        <v>44228</v>
      </c>
      <c r="B33">
        <f t="shared" si="3"/>
        <v>24</v>
      </c>
      <c r="C33" s="6">
        <f t="shared" si="0"/>
        <v>2460.7562923616729</v>
      </c>
      <c r="D33" s="6">
        <f t="shared" si="1"/>
        <v>1177.0310184570874</v>
      </c>
      <c r="E33" s="6">
        <f t="shared" si="4"/>
        <v>1283.7252739045855</v>
      </c>
      <c r="F33" s="6">
        <f t="shared" si="5"/>
        <v>271472.58467809204</v>
      </c>
      <c r="G33" s="6"/>
    </row>
    <row r="34" spans="1:7" x14ac:dyDescent="0.25">
      <c r="A34" s="2">
        <f t="shared" ca="1" si="2"/>
        <v>44256</v>
      </c>
      <c r="B34">
        <f t="shared" si="3"/>
        <v>25</v>
      </c>
      <c r="C34" s="6">
        <f t="shared" si="0"/>
        <v>2460.7562923616729</v>
      </c>
      <c r="D34" s="6">
        <f t="shared" si="1"/>
        <v>1182.5728728356562</v>
      </c>
      <c r="E34" s="6">
        <f t="shared" si="4"/>
        <v>1278.1834195260167</v>
      </c>
      <c r="F34" s="6">
        <f t="shared" si="5"/>
        <v>270290.01180525636</v>
      </c>
      <c r="G34" s="6"/>
    </row>
    <row r="35" spans="1:7" x14ac:dyDescent="0.25">
      <c r="A35" s="2">
        <f t="shared" ca="1" si="2"/>
        <v>44287</v>
      </c>
      <c r="B35">
        <f t="shared" si="3"/>
        <v>26</v>
      </c>
      <c r="C35" s="6">
        <f t="shared" si="0"/>
        <v>2460.7562923616729</v>
      </c>
      <c r="D35" s="6">
        <f t="shared" si="1"/>
        <v>1188.1408201119241</v>
      </c>
      <c r="E35" s="6">
        <f t="shared" si="4"/>
        <v>1272.6154722497488</v>
      </c>
      <c r="F35" s="6">
        <f t="shared" si="5"/>
        <v>269101.87098514446</v>
      </c>
      <c r="G35" s="6"/>
    </row>
    <row r="36" spans="1:7" x14ac:dyDescent="0.25">
      <c r="A36" s="2">
        <f t="shared" ca="1" si="2"/>
        <v>44317</v>
      </c>
      <c r="B36">
        <f t="shared" si="3"/>
        <v>27</v>
      </c>
      <c r="C36" s="6">
        <f t="shared" si="0"/>
        <v>2460.7562923616729</v>
      </c>
      <c r="D36" s="6">
        <f t="shared" si="1"/>
        <v>1193.7349831399511</v>
      </c>
      <c r="E36" s="6">
        <f t="shared" si="4"/>
        <v>1267.0213092217218</v>
      </c>
      <c r="F36" s="6">
        <f t="shared" si="5"/>
        <v>267908.1360020045</v>
      </c>
      <c r="G36" s="6"/>
    </row>
    <row r="37" spans="1:7" x14ac:dyDescent="0.25">
      <c r="A37" s="2">
        <f t="shared" ca="1" si="2"/>
        <v>44348</v>
      </c>
      <c r="B37">
        <f t="shared" si="3"/>
        <v>28</v>
      </c>
      <c r="C37" s="6">
        <f t="shared" si="0"/>
        <v>2460.7562923616729</v>
      </c>
      <c r="D37" s="6">
        <f t="shared" si="1"/>
        <v>1199.3554853522351</v>
      </c>
      <c r="E37" s="6">
        <f t="shared" si="4"/>
        <v>1261.4008070094378</v>
      </c>
      <c r="F37" s="6">
        <f t="shared" si="5"/>
        <v>266708.78051665227</v>
      </c>
      <c r="G37" s="6"/>
    </row>
    <row r="38" spans="1:7" x14ac:dyDescent="0.25">
      <c r="A38" s="2">
        <f t="shared" ca="1" si="2"/>
        <v>44378</v>
      </c>
      <c r="B38">
        <f t="shared" si="3"/>
        <v>29</v>
      </c>
      <c r="C38" s="6">
        <f t="shared" si="0"/>
        <v>2460.7562923616729</v>
      </c>
      <c r="D38" s="6">
        <f t="shared" si="1"/>
        <v>1205.002450762435</v>
      </c>
      <c r="E38" s="6">
        <f t="shared" si="4"/>
        <v>1255.7538415992378</v>
      </c>
      <c r="F38" s="6">
        <f t="shared" si="5"/>
        <v>265503.77806588984</v>
      </c>
      <c r="G38" s="6"/>
    </row>
    <row r="39" spans="1:7" x14ac:dyDescent="0.25">
      <c r="A39" s="2">
        <f t="shared" ca="1" si="2"/>
        <v>44409</v>
      </c>
      <c r="B39">
        <f t="shared" si="3"/>
        <v>30</v>
      </c>
      <c r="C39" s="6">
        <f t="shared" si="0"/>
        <v>2460.7562923616729</v>
      </c>
      <c r="D39" s="6">
        <f t="shared" si="1"/>
        <v>1210.6760039681083</v>
      </c>
      <c r="E39" s="6">
        <f t="shared" si="4"/>
        <v>1250.0802883935646</v>
      </c>
      <c r="F39" s="6">
        <f t="shared" si="5"/>
        <v>264293.10206192173</v>
      </c>
      <c r="G39" s="6"/>
    </row>
    <row r="40" spans="1:7" x14ac:dyDescent="0.25">
      <c r="A40" s="2">
        <f t="shared" ca="1" si="2"/>
        <v>44440</v>
      </c>
      <c r="B40">
        <f t="shared" si="3"/>
        <v>31</v>
      </c>
      <c r="C40" s="6">
        <f t="shared" si="0"/>
        <v>2460.7562923616729</v>
      </c>
      <c r="D40" s="6">
        <f t="shared" si="1"/>
        <v>1216.3762701534581</v>
      </c>
      <c r="E40" s="6">
        <f t="shared" si="4"/>
        <v>1244.3800222082148</v>
      </c>
      <c r="F40" s="6">
        <f t="shared" si="5"/>
        <v>263076.72579176829</v>
      </c>
      <c r="G40" s="6"/>
    </row>
    <row r="41" spans="1:7" x14ac:dyDescent="0.25">
      <c r="A41" s="2">
        <f t="shared" ca="1" si="2"/>
        <v>44470</v>
      </c>
      <c r="B41">
        <f t="shared" si="3"/>
        <v>32</v>
      </c>
      <c r="C41" s="6">
        <f t="shared" si="0"/>
        <v>2460.7562923616729</v>
      </c>
      <c r="D41" s="6">
        <f t="shared" si="1"/>
        <v>1222.1033750920972</v>
      </c>
      <c r="E41" s="6">
        <f t="shared" si="4"/>
        <v>1238.6529172695757</v>
      </c>
      <c r="F41" s="6">
        <f t="shared" si="5"/>
        <v>261854.6224166762</v>
      </c>
      <c r="G41" s="6"/>
    </row>
    <row r="42" spans="1:7" x14ac:dyDescent="0.25">
      <c r="A42" s="2">
        <f t="shared" ca="1" si="2"/>
        <v>44501</v>
      </c>
      <c r="B42">
        <f t="shared" si="3"/>
        <v>33</v>
      </c>
      <c r="C42" s="6">
        <f t="shared" si="0"/>
        <v>2460.7562923616729</v>
      </c>
      <c r="D42" s="6">
        <f t="shared" si="1"/>
        <v>1227.8574451498225</v>
      </c>
      <c r="E42" s="6">
        <f t="shared" si="4"/>
        <v>1232.8988472118504</v>
      </c>
      <c r="F42" s="6">
        <f t="shared" si="5"/>
        <v>260626.76497152637</v>
      </c>
      <c r="G42" s="6"/>
    </row>
    <row r="43" spans="1:7" x14ac:dyDescent="0.25">
      <c r="A43" s="2">
        <f t="shared" ca="1" si="2"/>
        <v>44531</v>
      </c>
      <c r="B43">
        <f t="shared" si="3"/>
        <v>34</v>
      </c>
      <c r="C43" s="6">
        <f t="shared" si="0"/>
        <v>2460.7562923616729</v>
      </c>
      <c r="D43" s="6">
        <f t="shared" si="1"/>
        <v>1233.6386072874029</v>
      </c>
      <c r="E43" s="6">
        <f t="shared" si="4"/>
        <v>1227.11768507427</v>
      </c>
      <c r="F43" s="6">
        <f t="shared" si="5"/>
        <v>259393.12636423897</v>
      </c>
      <c r="G43" s="6"/>
    </row>
    <row r="44" spans="1:7" x14ac:dyDescent="0.25">
      <c r="A44" s="2">
        <f t="shared" ca="1" si="2"/>
        <v>44562</v>
      </c>
      <c r="B44">
        <f t="shared" si="3"/>
        <v>35</v>
      </c>
      <c r="C44" s="6">
        <f t="shared" si="0"/>
        <v>2460.7562923616729</v>
      </c>
      <c r="D44" s="6">
        <f t="shared" si="1"/>
        <v>1239.4469890633811</v>
      </c>
      <c r="E44" s="6">
        <f t="shared" si="4"/>
        <v>1221.3093032982918</v>
      </c>
      <c r="F44" s="6">
        <f t="shared" si="5"/>
        <v>258153.67937517559</v>
      </c>
      <c r="G44" s="6"/>
    </row>
    <row r="45" spans="1:7" x14ac:dyDescent="0.25">
      <c r="A45" s="2">
        <f t="shared" ca="1" si="2"/>
        <v>44593</v>
      </c>
      <c r="B45">
        <f t="shared" si="3"/>
        <v>36</v>
      </c>
      <c r="C45" s="6">
        <f t="shared" si="0"/>
        <v>2460.7562923616729</v>
      </c>
      <c r="D45" s="6">
        <f t="shared" si="1"/>
        <v>1245.2827186368877</v>
      </c>
      <c r="E45" s="6">
        <f t="shared" si="4"/>
        <v>1215.4735737247852</v>
      </c>
      <c r="F45" s="6">
        <f t="shared" si="5"/>
        <v>256908.39665653871</v>
      </c>
      <c r="G45" s="6"/>
    </row>
    <row r="46" spans="1:7" x14ac:dyDescent="0.25">
      <c r="A46" s="2">
        <f t="shared" ca="1" si="2"/>
        <v>44621</v>
      </c>
      <c r="B46">
        <f t="shared" si="3"/>
        <v>37</v>
      </c>
      <c r="C46" s="6">
        <f t="shared" si="0"/>
        <v>2460.7562923616729</v>
      </c>
      <c r="D46" s="6">
        <f t="shared" si="1"/>
        <v>1251.1459247704697</v>
      </c>
      <c r="E46" s="6">
        <f t="shared" si="4"/>
        <v>1209.6103675912032</v>
      </c>
      <c r="F46" s="6">
        <f t="shared" si="5"/>
        <v>255657.25073176823</v>
      </c>
      <c r="G46" s="6"/>
    </row>
    <row r="47" spans="1:7" x14ac:dyDescent="0.25">
      <c r="A47" s="2">
        <f t="shared" ca="1" si="2"/>
        <v>44652</v>
      </c>
      <c r="B47">
        <f t="shared" si="3"/>
        <v>38</v>
      </c>
      <c r="C47" s="6">
        <f t="shared" si="0"/>
        <v>2460.7562923616729</v>
      </c>
      <c r="D47" s="6">
        <f t="shared" si="1"/>
        <v>1257.0367368329307</v>
      </c>
      <c r="E47" s="6">
        <f t="shared" si="4"/>
        <v>1203.7195555287421</v>
      </c>
      <c r="F47" s="6">
        <f t="shared" si="5"/>
        <v>254400.2139949353</v>
      </c>
      <c r="G47" s="6"/>
    </row>
    <row r="48" spans="1:7" x14ac:dyDescent="0.25">
      <c r="A48" s="2">
        <f t="shared" ca="1" si="2"/>
        <v>44682</v>
      </c>
      <c r="B48">
        <f t="shared" si="3"/>
        <v>39</v>
      </c>
      <c r="C48" s="6">
        <f t="shared" si="0"/>
        <v>2460.7562923616729</v>
      </c>
      <c r="D48" s="6">
        <f t="shared" si="1"/>
        <v>1262.9552848021858</v>
      </c>
      <c r="E48" s="6">
        <f t="shared" si="4"/>
        <v>1197.8010075594871</v>
      </c>
      <c r="F48" s="6">
        <f t="shared" si="5"/>
        <v>253137.25871013312</v>
      </c>
      <c r="G48" s="6"/>
    </row>
    <row r="49" spans="1:7" x14ac:dyDescent="0.25">
      <c r="A49" s="2">
        <f t="shared" ca="1" si="2"/>
        <v>44713</v>
      </c>
      <c r="B49">
        <f t="shared" si="3"/>
        <v>40</v>
      </c>
      <c r="C49" s="6">
        <f t="shared" si="0"/>
        <v>2460.7562923616729</v>
      </c>
      <c r="D49" s="6">
        <f t="shared" si="1"/>
        <v>1268.9016992681295</v>
      </c>
      <c r="E49" s="6">
        <f t="shared" si="4"/>
        <v>1191.8545930935434</v>
      </c>
      <c r="F49" s="6">
        <f t="shared" si="5"/>
        <v>251868.35701086497</v>
      </c>
      <c r="G49" s="6"/>
    </row>
    <row r="50" spans="1:7" x14ac:dyDescent="0.25">
      <c r="A50" s="2">
        <f t="shared" ca="1" si="2"/>
        <v>44743</v>
      </c>
      <c r="B50">
        <f t="shared" si="3"/>
        <v>41</v>
      </c>
      <c r="C50" s="6">
        <f t="shared" si="0"/>
        <v>2460.7562923616729</v>
      </c>
      <c r="D50" s="6">
        <f t="shared" si="1"/>
        <v>1274.876111435517</v>
      </c>
      <c r="E50" s="6">
        <f t="shared" si="4"/>
        <v>1185.8801809261558</v>
      </c>
      <c r="F50" s="6">
        <f t="shared" si="5"/>
        <v>250593.48089942944</v>
      </c>
      <c r="G50" s="6"/>
    </row>
    <row r="51" spans="1:7" x14ac:dyDescent="0.25">
      <c r="A51" s="2">
        <f t="shared" ca="1" si="2"/>
        <v>44774</v>
      </c>
      <c r="B51">
        <f t="shared" si="3"/>
        <v>42</v>
      </c>
      <c r="C51" s="6">
        <f t="shared" si="0"/>
        <v>2460.7562923616729</v>
      </c>
      <c r="D51" s="6">
        <f t="shared" si="1"/>
        <v>1280.8786531268593</v>
      </c>
      <c r="E51" s="6">
        <f t="shared" si="4"/>
        <v>1179.8776392348136</v>
      </c>
      <c r="F51" s="6">
        <f t="shared" si="5"/>
        <v>249312.60224630259</v>
      </c>
      <c r="G51" s="6"/>
    </row>
    <row r="52" spans="1:7" x14ac:dyDescent="0.25">
      <c r="A52" s="2">
        <f t="shared" ca="1" si="2"/>
        <v>44805</v>
      </c>
      <c r="B52">
        <f t="shared" si="3"/>
        <v>43</v>
      </c>
      <c r="C52" s="6">
        <f t="shared" si="0"/>
        <v>2460.7562923616729</v>
      </c>
      <c r="D52" s="6">
        <f t="shared" si="1"/>
        <v>1286.9094567853315</v>
      </c>
      <c r="E52" s="6">
        <f t="shared" si="4"/>
        <v>1173.8468355763414</v>
      </c>
      <c r="F52" s="6">
        <f t="shared" si="5"/>
        <v>248025.69278951726</v>
      </c>
      <c r="G52" s="6"/>
    </row>
    <row r="53" spans="1:7" x14ac:dyDescent="0.25">
      <c r="A53" s="2">
        <f t="shared" ca="1" si="2"/>
        <v>44835</v>
      </c>
      <c r="B53">
        <f t="shared" si="3"/>
        <v>44</v>
      </c>
      <c r="C53" s="6">
        <f t="shared" si="0"/>
        <v>2460.7562923616729</v>
      </c>
      <c r="D53" s="6">
        <f t="shared" si="1"/>
        <v>1292.9686554776958</v>
      </c>
      <c r="E53" s="6">
        <f t="shared" si="4"/>
        <v>1167.787636883977</v>
      </c>
      <c r="F53" s="6">
        <f t="shared" si="5"/>
        <v>246732.72413403957</v>
      </c>
      <c r="G53" s="6"/>
    </row>
    <row r="54" spans="1:7" x14ac:dyDescent="0.25">
      <c r="A54" s="2">
        <f t="shared" ca="1" si="2"/>
        <v>44866</v>
      </c>
      <c r="B54">
        <f t="shared" si="3"/>
        <v>45</v>
      </c>
      <c r="C54" s="6">
        <f t="shared" si="0"/>
        <v>2460.7562923616729</v>
      </c>
      <c r="D54" s="6">
        <f t="shared" si="1"/>
        <v>1299.0563828972365</v>
      </c>
      <c r="E54" s="6">
        <f t="shared" si="4"/>
        <v>1161.6999094644364</v>
      </c>
      <c r="F54" s="6">
        <f t="shared" si="5"/>
        <v>245433.66775114235</v>
      </c>
      <c r="G54" s="6"/>
    </row>
    <row r="55" spans="1:7" x14ac:dyDescent="0.25">
      <c r="A55" s="2">
        <f t="shared" ca="1" si="2"/>
        <v>44896</v>
      </c>
      <c r="B55">
        <f t="shared" si="3"/>
        <v>46</v>
      </c>
      <c r="C55" s="6">
        <f t="shared" si="0"/>
        <v>2460.7562923616729</v>
      </c>
      <c r="D55" s="6">
        <f t="shared" si="1"/>
        <v>1305.172773366711</v>
      </c>
      <c r="E55" s="6">
        <f t="shared" si="4"/>
        <v>1155.5835189949619</v>
      </c>
      <c r="F55" s="6">
        <f t="shared" si="5"/>
        <v>244128.49497777564</v>
      </c>
      <c r="G55" s="6"/>
    </row>
    <row r="56" spans="1:7" x14ac:dyDescent="0.25">
      <c r="A56" s="2">
        <f t="shared" ca="1" si="2"/>
        <v>44927</v>
      </c>
      <c r="B56">
        <f t="shared" si="3"/>
        <v>47</v>
      </c>
      <c r="C56" s="6">
        <f t="shared" si="0"/>
        <v>2460.7562923616729</v>
      </c>
      <c r="D56" s="6">
        <f t="shared" si="1"/>
        <v>1311.3179618413126</v>
      </c>
      <c r="E56" s="6">
        <f t="shared" si="4"/>
        <v>1149.4383305203603</v>
      </c>
      <c r="F56" s="6">
        <f t="shared" si="5"/>
        <v>242817.17701593431</v>
      </c>
      <c r="G56" s="6"/>
    </row>
    <row r="57" spans="1:7" x14ac:dyDescent="0.25">
      <c r="A57" s="2">
        <f t="shared" ca="1" si="2"/>
        <v>44958</v>
      </c>
      <c r="B57">
        <f t="shared" si="3"/>
        <v>48</v>
      </c>
      <c r="C57" s="6">
        <f t="shared" si="0"/>
        <v>2460.7562923616729</v>
      </c>
      <c r="D57" s="6">
        <f t="shared" si="1"/>
        <v>1317.4920839116487</v>
      </c>
      <c r="E57" s="6">
        <f t="shared" si="4"/>
        <v>1143.2642084500242</v>
      </c>
      <c r="F57" s="6">
        <f t="shared" si="5"/>
        <v>241499.68493202268</v>
      </c>
      <c r="G57" s="6"/>
    </row>
    <row r="58" spans="1:7" x14ac:dyDescent="0.25">
      <c r="A58" s="2">
        <f t="shared" ca="1" si="2"/>
        <v>44986</v>
      </c>
      <c r="B58">
        <f t="shared" si="3"/>
        <v>49</v>
      </c>
      <c r="C58" s="6">
        <f t="shared" si="0"/>
        <v>2460.7562923616729</v>
      </c>
      <c r="D58" s="6">
        <f t="shared" si="1"/>
        <v>1323.6952758067328</v>
      </c>
      <c r="E58" s="6">
        <f t="shared" si="4"/>
        <v>1137.0610165549401</v>
      </c>
      <c r="F58" s="6">
        <f t="shared" si="5"/>
        <v>240175.98965621594</v>
      </c>
      <c r="G58" s="6"/>
    </row>
    <row r="59" spans="1:7" x14ac:dyDescent="0.25">
      <c r="A59" s="2">
        <f t="shared" ca="1" si="2"/>
        <v>45017</v>
      </c>
      <c r="B59">
        <f t="shared" si="3"/>
        <v>50</v>
      </c>
      <c r="C59" s="6">
        <f t="shared" si="0"/>
        <v>2460.7562923616729</v>
      </c>
      <c r="D59" s="6">
        <f t="shared" si="1"/>
        <v>1329.9276743969895</v>
      </c>
      <c r="E59" s="6">
        <f t="shared" si="4"/>
        <v>1130.8286179646834</v>
      </c>
      <c r="F59" s="6">
        <f t="shared" si="5"/>
        <v>238846.06198181896</v>
      </c>
      <c r="G59" s="6"/>
    </row>
    <row r="60" spans="1:7" x14ac:dyDescent="0.25">
      <c r="A60" s="2">
        <f t="shared" ca="1" si="2"/>
        <v>45047</v>
      </c>
      <c r="B60">
        <f t="shared" si="3"/>
        <v>51</v>
      </c>
      <c r="C60" s="6">
        <f t="shared" si="0"/>
        <v>2460.7562923616729</v>
      </c>
      <c r="D60" s="6">
        <f t="shared" si="1"/>
        <v>1336.1894171972751</v>
      </c>
      <c r="E60" s="6">
        <f t="shared" si="4"/>
        <v>1124.5668751643977</v>
      </c>
      <c r="F60" s="6">
        <f t="shared" si="5"/>
        <v>237509.87256462168</v>
      </c>
      <c r="G60" s="6"/>
    </row>
    <row r="61" spans="1:7" x14ac:dyDescent="0.25">
      <c r="A61" s="2">
        <f t="shared" ca="1" si="2"/>
        <v>45078</v>
      </c>
      <c r="B61">
        <f t="shared" si="3"/>
        <v>52</v>
      </c>
      <c r="C61" s="6">
        <f t="shared" si="0"/>
        <v>2460.7562923616729</v>
      </c>
      <c r="D61" s="6">
        <f t="shared" si="1"/>
        <v>1342.4806423699124</v>
      </c>
      <c r="E61" s="6">
        <f t="shared" si="4"/>
        <v>1118.2756499917605</v>
      </c>
      <c r="F61" s="6">
        <f t="shared" si="5"/>
        <v>236167.39192225176</v>
      </c>
      <c r="G61" s="6"/>
    </row>
    <row r="62" spans="1:7" x14ac:dyDescent="0.25">
      <c r="A62" s="2">
        <f t="shared" ca="1" si="2"/>
        <v>45108</v>
      </c>
      <c r="B62">
        <f t="shared" si="3"/>
        <v>53</v>
      </c>
      <c r="C62" s="6">
        <f t="shared" si="0"/>
        <v>2460.7562923616729</v>
      </c>
      <c r="D62" s="6">
        <f t="shared" si="1"/>
        <v>1348.8014887277375</v>
      </c>
      <c r="E62" s="6">
        <f t="shared" si="4"/>
        <v>1111.9548036339354</v>
      </c>
      <c r="F62" s="6">
        <f t="shared" si="5"/>
        <v>234818.59043352402</v>
      </c>
      <c r="G62" s="6"/>
    </row>
    <row r="63" spans="1:7" x14ac:dyDescent="0.25">
      <c r="A63" s="2">
        <f t="shared" ca="1" si="2"/>
        <v>45139</v>
      </c>
      <c r="B63">
        <f t="shared" si="3"/>
        <v>54</v>
      </c>
      <c r="C63" s="6">
        <f t="shared" si="0"/>
        <v>2460.7562923616729</v>
      </c>
      <c r="D63" s="6">
        <f t="shared" si="1"/>
        <v>1355.152095737164</v>
      </c>
      <c r="E63" s="6">
        <f t="shared" si="4"/>
        <v>1105.6041966245089</v>
      </c>
      <c r="F63" s="6">
        <f t="shared" si="5"/>
        <v>233463.43833778685</v>
      </c>
      <c r="G63" s="6"/>
    </row>
    <row r="64" spans="1:7" x14ac:dyDescent="0.25">
      <c r="A64" s="2">
        <f t="shared" ca="1" si="2"/>
        <v>45170</v>
      </c>
      <c r="B64">
        <f t="shared" si="3"/>
        <v>55</v>
      </c>
      <c r="C64" s="6">
        <f t="shared" si="0"/>
        <v>2460.7562923616729</v>
      </c>
      <c r="D64" s="6">
        <f t="shared" si="1"/>
        <v>1361.5326035212597</v>
      </c>
      <c r="E64" s="6">
        <f t="shared" si="4"/>
        <v>1099.2236888404132</v>
      </c>
      <c r="F64" s="6">
        <f t="shared" si="5"/>
        <v>232101.9057342656</v>
      </c>
      <c r="G64" s="6"/>
    </row>
    <row r="65" spans="1:7" x14ac:dyDescent="0.25">
      <c r="A65" s="2">
        <f t="shared" ca="1" si="2"/>
        <v>45200</v>
      </c>
      <c r="B65">
        <f t="shared" si="3"/>
        <v>56</v>
      </c>
      <c r="C65" s="6">
        <f t="shared" si="0"/>
        <v>2460.7562923616729</v>
      </c>
      <c r="D65" s="6">
        <f t="shared" si="1"/>
        <v>1367.943152862839</v>
      </c>
      <c r="E65" s="6">
        <f t="shared" si="4"/>
        <v>1092.8131394988338</v>
      </c>
      <c r="F65" s="6">
        <f t="shared" si="5"/>
        <v>230733.96258140277</v>
      </c>
      <c r="G65" s="6"/>
    </row>
    <row r="66" spans="1:7" x14ac:dyDescent="0.25">
      <c r="A66" s="2">
        <f t="shared" ca="1" si="2"/>
        <v>45231</v>
      </c>
      <c r="B66">
        <f t="shared" si="3"/>
        <v>57</v>
      </c>
      <c r="C66" s="6">
        <f t="shared" si="0"/>
        <v>2460.7562923616729</v>
      </c>
      <c r="D66" s="6">
        <f t="shared" si="1"/>
        <v>1374.3838852075683</v>
      </c>
      <c r="E66" s="6">
        <f t="shared" si="4"/>
        <v>1086.3724071541046</v>
      </c>
      <c r="F66" s="6">
        <f t="shared" si="5"/>
        <v>229359.57869619521</v>
      </c>
      <c r="G66" s="6"/>
    </row>
    <row r="67" spans="1:7" x14ac:dyDescent="0.25">
      <c r="A67" s="2">
        <f t="shared" ca="1" si="2"/>
        <v>45261</v>
      </c>
      <c r="B67">
        <f t="shared" si="3"/>
        <v>58</v>
      </c>
      <c r="C67" s="6">
        <f t="shared" si="0"/>
        <v>2460.7562923616729</v>
      </c>
      <c r="D67" s="6">
        <f t="shared" si="1"/>
        <v>1380.854942667087</v>
      </c>
      <c r="E67" s="6">
        <f t="shared" si="4"/>
        <v>1079.9013496945859</v>
      </c>
      <c r="F67" s="6">
        <f t="shared" si="5"/>
        <v>227978.72375352812</v>
      </c>
      <c r="G67" s="6"/>
    </row>
    <row r="68" spans="1:7" x14ac:dyDescent="0.25">
      <c r="A68" s="2">
        <f t="shared" ca="1" si="2"/>
        <v>45292</v>
      </c>
      <c r="B68">
        <f t="shared" si="3"/>
        <v>59</v>
      </c>
      <c r="C68" s="6">
        <f t="shared" si="0"/>
        <v>2460.7562923616729</v>
      </c>
      <c r="D68" s="6">
        <f t="shared" si="1"/>
        <v>1387.3564680221446</v>
      </c>
      <c r="E68" s="6">
        <f t="shared" si="4"/>
        <v>1073.3998243395283</v>
      </c>
      <c r="F68" s="6">
        <f t="shared" si="5"/>
        <v>226591.36728550598</v>
      </c>
      <c r="G68" s="6"/>
    </row>
    <row r="69" spans="1:7" x14ac:dyDescent="0.25">
      <c r="A69" s="2">
        <f t="shared" ca="1" si="2"/>
        <v>45323</v>
      </c>
      <c r="B69">
        <f t="shared" si="3"/>
        <v>60</v>
      </c>
      <c r="C69" s="6">
        <f t="shared" si="0"/>
        <v>2460.7562923616729</v>
      </c>
      <c r="D69" s="6">
        <f t="shared" si="1"/>
        <v>1393.8886047257488</v>
      </c>
      <c r="E69" s="6">
        <f t="shared" si="4"/>
        <v>1066.8676876359241</v>
      </c>
      <c r="F69" s="6">
        <f t="shared" si="5"/>
        <v>225197.47868078024</v>
      </c>
      <c r="G69" s="6"/>
    </row>
    <row r="70" spans="1:7" x14ac:dyDescent="0.25">
      <c r="A70" s="2">
        <f t="shared" ca="1" si="2"/>
        <v>45352</v>
      </c>
      <c r="B70">
        <f t="shared" si="3"/>
        <v>61</v>
      </c>
      <c r="C70" s="6">
        <f t="shared" si="0"/>
        <v>2460.7562923616729</v>
      </c>
      <c r="D70" s="6">
        <f t="shared" si="1"/>
        <v>1400.4514969063325</v>
      </c>
      <c r="E70" s="6">
        <f t="shared" si="4"/>
        <v>1060.3047954553404</v>
      </c>
      <c r="F70" s="6">
        <f t="shared" si="5"/>
        <v>223797.0271838739</v>
      </c>
      <c r="G70" s="6"/>
    </row>
    <row r="71" spans="1:7" x14ac:dyDescent="0.25">
      <c r="A71" s="2">
        <f t="shared" ca="1" si="2"/>
        <v>45383</v>
      </c>
      <c r="B71">
        <f t="shared" si="3"/>
        <v>62</v>
      </c>
      <c r="C71" s="6">
        <f t="shared" si="0"/>
        <v>2460.7562923616729</v>
      </c>
      <c r="D71" s="6">
        <f t="shared" si="1"/>
        <v>1407.0452893709332</v>
      </c>
      <c r="E71" s="6">
        <f t="shared" si="4"/>
        <v>1053.7110029907396</v>
      </c>
      <c r="F71" s="6">
        <f t="shared" si="5"/>
        <v>222389.98189450297</v>
      </c>
      <c r="G71" s="6"/>
    </row>
    <row r="72" spans="1:7" x14ac:dyDescent="0.25">
      <c r="A72" s="2">
        <f t="shared" ca="1" si="2"/>
        <v>45413</v>
      </c>
      <c r="B72">
        <f t="shared" si="3"/>
        <v>63</v>
      </c>
      <c r="C72" s="6">
        <f t="shared" si="0"/>
        <v>2460.7562923616729</v>
      </c>
      <c r="D72" s="6">
        <f t="shared" si="1"/>
        <v>1413.6701276083879</v>
      </c>
      <c r="E72" s="6">
        <f t="shared" si="4"/>
        <v>1047.0861647532849</v>
      </c>
      <c r="F72" s="6">
        <f t="shared" si="5"/>
        <v>220976.31176689459</v>
      </c>
      <c r="G72" s="6"/>
    </row>
    <row r="73" spans="1:7" x14ac:dyDescent="0.25">
      <c r="A73" s="2">
        <f t="shared" ca="1" si="2"/>
        <v>45444</v>
      </c>
      <c r="B73">
        <f t="shared" si="3"/>
        <v>64</v>
      </c>
      <c r="C73" s="6">
        <f t="shared" si="0"/>
        <v>2460.7562923616729</v>
      </c>
      <c r="D73" s="6">
        <f t="shared" si="1"/>
        <v>1420.3261577925441</v>
      </c>
      <c r="E73" s="6">
        <f t="shared" si="4"/>
        <v>1040.4301345691288</v>
      </c>
      <c r="F73" s="6">
        <f t="shared" si="5"/>
        <v>219555.98560910206</v>
      </c>
      <c r="G73" s="6"/>
    </row>
    <row r="74" spans="1:7" x14ac:dyDescent="0.25">
      <c r="A74" s="2">
        <f t="shared" ca="1" si="2"/>
        <v>45474</v>
      </c>
      <c r="B74">
        <f t="shared" si="3"/>
        <v>65</v>
      </c>
      <c r="C74" s="6">
        <f t="shared" si="0"/>
        <v>2460.7562923616729</v>
      </c>
      <c r="D74" s="6">
        <f t="shared" si="1"/>
        <v>1427.0135267854839</v>
      </c>
      <c r="E74" s="6">
        <f t="shared" si="4"/>
        <v>1033.742765576189</v>
      </c>
      <c r="F74" s="6">
        <f t="shared" si="5"/>
        <v>218128.97208231658</v>
      </c>
      <c r="G74" s="6"/>
    </row>
    <row r="75" spans="1:7" x14ac:dyDescent="0.25">
      <c r="A75" s="2">
        <f t="shared" ca="1" si="2"/>
        <v>45505</v>
      </c>
      <c r="B75">
        <f t="shared" si="3"/>
        <v>66</v>
      </c>
      <c r="C75" s="6">
        <f t="shared" ref="C75:C138" si="6">-PMT($C$4/12,$C$5,$C$3,0)</f>
        <v>2460.7562923616729</v>
      </c>
      <c r="D75" s="6">
        <f t="shared" ref="D75:D138" si="7">C75-E75</f>
        <v>1433.7323821407656</v>
      </c>
      <c r="E75" s="6">
        <f t="shared" si="4"/>
        <v>1027.0239102209073</v>
      </c>
      <c r="F75" s="6">
        <f t="shared" si="5"/>
        <v>216695.23970017582</v>
      </c>
      <c r="G75" s="6"/>
    </row>
    <row r="76" spans="1:7" x14ac:dyDescent="0.25">
      <c r="A76" s="2">
        <f t="shared" ref="A76:A139" ca="1" si="8">DATE(YEAR(A75),MONTH(A75)+1,1)</f>
        <v>45536</v>
      </c>
      <c r="B76">
        <f t="shared" ref="B76:B139" si="9">B75+1</f>
        <v>67</v>
      </c>
      <c r="C76" s="6">
        <f t="shared" si="6"/>
        <v>2460.7562923616729</v>
      </c>
      <c r="D76" s="6">
        <f t="shared" si="7"/>
        <v>1440.4828721066783</v>
      </c>
      <c r="E76" s="6">
        <f t="shared" ref="E76:E139" si="10">($C$4/12)*F75</f>
        <v>1020.2734202549946</v>
      </c>
      <c r="F76" s="6">
        <f t="shared" si="5"/>
        <v>215254.75682806913</v>
      </c>
      <c r="G76" s="6"/>
    </row>
    <row r="77" spans="1:7" x14ac:dyDescent="0.25">
      <c r="A77" s="2">
        <f t="shared" ca="1" si="8"/>
        <v>45566</v>
      </c>
      <c r="B77">
        <f t="shared" si="9"/>
        <v>68</v>
      </c>
      <c r="C77" s="6">
        <f t="shared" si="6"/>
        <v>2460.7562923616729</v>
      </c>
      <c r="D77" s="6">
        <f t="shared" si="7"/>
        <v>1447.2651456295139</v>
      </c>
      <c r="E77" s="6">
        <f t="shared" si="10"/>
        <v>1013.4911467321589</v>
      </c>
      <c r="F77" s="6">
        <f t="shared" si="5"/>
        <v>213807.49168243961</v>
      </c>
      <c r="G77" s="6"/>
    </row>
    <row r="78" spans="1:7" x14ac:dyDescent="0.25">
      <c r="A78" s="2">
        <f t="shared" ca="1" si="8"/>
        <v>45597</v>
      </c>
      <c r="B78">
        <f t="shared" si="9"/>
        <v>69</v>
      </c>
      <c r="C78" s="6">
        <f t="shared" si="6"/>
        <v>2460.7562923616729</v>
      </c>
      <c r="D78" s="6">
        <f t="shared" si="7"/>
        <v>1454.0793523568532</v>
      </c>
      <c r="E78" s="6">
        <f t="shared" si="10"/>
        <v>1006.6769400048198</v>
      </c>
      <c r="F78" s="6">
        <f t="shared" ref="F78:F141" si="11">F77-D78</f>
        <v>212353.41233008276</v>
      </c>
      <c r="G78" s="6"/>
    </row>
    <row r="79" spans="1:7" x14ac:dyDescent="0.25">
      <c r="A79" s="2">
        <f t="shared" ca="1" si="8"/>
        <v>45627</v>
      </c>
      <c r="B79">
        <f t="shared" si="9"/>
        <v>70</v>
      </c>
      <c r="C79" s="6">
        <f t="shared" si="6"/>
        <v>2460.7562923616729</v>
      </c>
      <c r="D79" s="6">
        <f t="shared" si="7"/>
        <v>1460.9256426408665</v>
      </c>
      <c r="E79" s="6">
        <f t="shared" si="10"/>
        <v>999.83064972080638</v>
      </c>
      <c r="F79" s="6">
        <f t="shared" si="11"/>
        <v>210892.48668744191</v>
      </c>
      <c r="G79" s="6"/>
    </row>
    <row r="80" spans="1:7" x14ac:dyDescent="0.25">
      <c r="A80" s="2">
        <f t="shared" ca="1" si="8"/>
        <v>45658</v>
      </c>
      <c r="B80">
        <f t="shared" si="9"/>
        <v>71</v>
      </c>
      <c r="C80" s="6">
        <f t="shared" si="6"/>
        <v>2460.7562923616729</v>
      </c>
      <c r="D80" s="6">
        <f t="shared" si="7"/>
        <v>1467.8041675416339</v>
      </c>
      <c r="E80" s="6">
        <f t="shared" si="10"/>
        <v>992.95212482003899</v>
      </c>
      <c r="F80" s="6">
        <f t="shared" si="11"/>
        <v>209424.68251990026</v>
      </c>
      <c r="G80" s="6"/>
    </row>
    <row r="81" spans="1:7" x14ac:dyDescent="0.25">
      <c r="A81" s="2">
        <f t="shared" ca="1" si="8"/>
        <v>45689</v>
      </c>
      <c r="B81">
        <f t="shared" si="9"/>
        <v>72</v>
      </c>
      <c r="C81" s="6">
        <f t="shared" si="6"/>
        <v>2460.7562923616729</v>
      </c>
      <c r="D81" s="6">
        <f t="shared" si="7"/>
        <v>1474.7150788304757</v>
      </c>
      <c r="E81" s="6">
        <f t="shared" si="10"/>
        <v>986.04121353119706</v>
      </c>
      <c r="F81" s="6">
        <f t="shared" si="11"/>
        <v>207949.96744106978</v>
      </c>
      <c r="G81" s="6"/>
    </row>
    <row r="82" spans="1:7" x14ac:dyDescent="0.25">
      <c r="A82" s="2">
        <f t="shared" ca="1" si="8"/>
        <v>45717</v>
      </c>
      <c r="B82">
        <f t="shared" si="9"/>
        <v>73</v>
      </c>
      <c r="C82" s="6">
        <f t="shared" si="6"/>
        <v>2460.7562923616729</v>
      </c>
      <c r="D82" s="6">
        <f t="shared" si="7"/>
        <v>1481.6585289933028</v>
      </c>
      <c r="E82" s="6">
        <f t="shared" si="10"/>
        <v>979.09776336837024</v>
      </c>
      <c r="F82" s="6">
        <f t="shared" si="11"/>
        <v>206468.30891207646</v>
      </c>
      <c r="G82" s="6"/>
    </row>
    <row r="83" spans="1:7" x14ac:dyDescent="0.25">
      <c r="A83" s="2">
        <f t="shared" ca="1" si="8"/>
        <v>45748</v>
      </c>
      <c r="B83">
        <f t="shared" si="9"/>
        <v>74</v>
      </c>
      <c r="C83" s="6">
        <f t="shared" si="6"/>
        <v>2460.7562923616729</v>
      </c>
      <c r="D83" s="6">
        <f t="shared" si="7"/>
        <v>1488.6346712339796</v>
      </c>
      <c r="E83" s="6">
        <f t="shared" si="10"/>
        <v>972.1216211276934</v>
      </c>
      <c r="F83" s="6">
        <f t="shared" si="11"/>
        <v>204979.67424084249</v>
      </c>
      <c r="G83" s="6"/>
    </row>
    <row r="84" spans="1:7" x14ac:dyDescent="0.25">
      <c r="A84" s="2">
        <f t="shared" ca="1" si="8"/>
        <v>45778</v>
      </c>
      <c r="B84">
        <f t="shared" si="9"/>
        <v>75</v>
      </c>
      <c r="C84" s="6">
        <f t="shared" si="6"/>
        <v>2460.7562923616729</v>
      </c>
      <c r="D84" s="6">
        <f t="shared" si="7"/>
        <v>1495.643659477706</v>
      </c>
      <c r="E84" s="6">
        <f t="shared" si="10"/>
        <v>965.11263288396674</v>
      </c>
      <c r="F84" s="6">
        <f t="shared" si="11"/>
        <v>203484.03058136479</v>
      </c>
      <c r="G84" s="6"/>
    </row>
    <row r="85" spans="1:7" x14ac:dyDescent="0.25">
      <c r="A85" s="2">
        <f t="shared" ca="1" si="8"/>
        <v>45809</v>
      </c>
      <c r="B85">
        <f t="shared" si="9"/>
        <v>76</v>
      </c>
      <c r="C85" s="6">
        <f t="shared" si="6"/>
        <v>2460.7562923616729</v>
      </c>
      <c r="D85" s="6">
        <f t="shared" si="7"/>
        <v>1502.6856483744136</v>
      </c>
      <c r="E85" s="6">
        <f t="shared" si="10"/>
        <v>958.07064398725925</v>
      </c>
      <c r="F85" s="6">
        <f t="shared" si="11"/>
        <v>201981.34493299038</v>
      </c>
      <c r="G85" s="6"/>
    </row>
    <row r="86" spans="1:7" x14ac:dyDescent="0.25">
      <c r="A86" s="2">
        <f t="shared" ca="1" si="8"/>
        <v>45839</v>
      </c>
      <c r="B86">
        <f t="shared" si="9"/>
        <v>77</v>
      </c>
      <c r="C86" s="6">
        <f t="shared" si="6"/>
        <v>2460.7562923616729</v>
      </c>
      <c r="D86" s="6">
        <f t="shared" si="7"/>
        <v>1509.7607933021764</v>
      </c>
      <c r="E86" s="6">
        <f t="shared" si="10"/>
        <v>950.99549905949641</v>
      </c>
      <c r="F86" s="6">
        <f t="shared" si="11"/>
        <v>200471.5841396882</v>
      </c>
      <c r="G86" s="6"/>
    </row>
    <row r="87" spans="1:7" x14ac:dyDescent="0.25">
      <c r="A87" s="2">
        <f t="shared" ca="1" si="8"/>
        <v>45870</v>
      </c>
      <c r="B87">
        <f t="shared" si="9"/>
        <v>78</v>
      </c>
      <c r="C87" s="6">
        <f t="shared" si="6"/>
        <v>2460.7562923616729</v>
      </c>
      <c r="D87" s="6">
        <f t="shared" si="7"/>
        <v>1516.8692503706409</v>
      </c>
      <c r="E87" s="6">
        <f t="shared" si="10"/>
        <v>943.88704199103199</v>
      </c>
      <c r="F87" s="6">
        <f t="shared" si="11"/>
        <v>198954.71488931755</v>
      </c>
      <c r="G87" s="6"/>
    </row>
    <row r="88" spans="1:7" x14ac:dyDescent="0.25">
      <c r="A88" s="2">
        <f t="shared" ca="1" si="8"/>
        <v>45901</v>
      </c>
      <c r="B88">
        <f t="shared" si="9"/>
        <v>79</v>
      </c>
      <c r="C88" s="6">
        <f t="shared" si="6"/>
        <v>2460.7562923616729</v>
      </c>
      <c r="D88" s="6">
        <f t="shared" si="7"/>
        <v>1524.0111764244693</v>
      </c>
      <c r="E88" s="6">
        <f t="shared" si="10"/>
        <v>936.74511593720342</v>
      </c>
      <c r="F88" s="6">
        <f t="shared" si="11"/>
        <v>197430.70371289307</v>
      </c>
      <c r="G88" s="6"/>
    </row>
    <row r="89" spans="1:7" x14ac:dyDescent="0.25">
      <c r="A89" s="2">
        <f t="shared" ca="1" si="8"/>
        <v>45931</v>
      </c>
      <c r="B89">
        <f t="shared" si="9"/>
        <v>80</v>
      </c>
      <c r="C89" s="6">
        <f t="shared" si="6"/>
        <v>2460.7562923616729</v>
      </c>
      <c r="D89" s="6">
        <f t="shared" si="7"/>
        <v>1531.1867290468012</v>
      </c>
      <c r="E89" s="6">
        <f t="shared" si="10"/>
        <v>929.56956331487152</v>
      </c>
      <c r="F89" s="6">
        <f t="shared" si="11"/>
        <v>195899.51698384626</v>
      </c>
      <c r="G89" s="6"/>
    </row>
    <row r="90" spans="1:7" x14ac:dyDescent="0.25">
      <c r="A90" s="2">
        <f t="shared" ca="1" si="8"/>
        <v>45962</v>
      </c>
      <c r="B90">
        <f t="shared" si="9"/>
        <v>81</v>
      </c>
      <c r="C90" s="6">
        <f t="shared" si="6"/>
        <v>2460.7562923616729</v>
      </c>
      <c r="D90" s="6">
        <f t="shared" si="7"/>
        <v>1538.3960665627301</v>
      </c>
      <c r="E90" s="6">
        <f t="shared" si="10"/>
        <v>922.36022579894279</v>
      </c>
      <c r="F90" s="6">
        <f t="shared" si="11"/>
        <v>194361.12091728352</v>
      </c>
      <c r="G90" s="6"/>
    </row>
    <row r="91" spans="1:7" x14ac:dyDescent="0.25">
      <c r="A91" s="2">
        <f t="shared" ca="1" si="8"/>
        <v>45992</v>
      </c>
      <c r="B91">
        <f t="shared" si="9"/>
        <v>82</v>
      </c>
      <c r="C91" s="6">
        <f t="shared" si="6"/>
        <v>2460.7562923616729</v>
      </c>
      <c r="D91" s="6">
        <f t="shared" si="7"/>
        <v>1545.6393480427964</v>
      </c>
      <c r="E91" s="6">
        <f t="shared" si="10"/>
        <v>915.11694431887656</v>
      </c>
      <c r="F91" s="6">
        <f t="shared" si="11"/>
        <v>192815.48156924071</v>
      </c>
      <c r="G91" s="6"/>
    </row>
    <row r="92" spans="1:7" x14ac:dyDescent="0.25">
      <c r="A92" s="2">
        <f t="shared" ca="1" si="8"/>
        <v>46023</v>
      </c>
      <c r="B92">
        <f t="shared" si="9"/>
        <v>83</v>
      </c>
      <c r="C92" s="6">
        <f t="shared" si="6"/>
        <v>2460.7562923616729</v>
      </c>
      <c r="D92" s="6">
        <f t="shared" si="7"/>
        <v>1552.9167333064979</v>
      </c>
      <c r="E92" s="6">
        <f t="shared" si="10"/>
        <v>907.83955905517507</v>
      </c>
      <c r="F92" s="6">
        <f t="shared" si="11"/>
        <v>191262.5648359342</v>
      </c>
      <c r="G92" s="6"/>
    </row>
    <row r="93" spans="1:7" x14ac:dyDescent="0.25">
      <c r="A93" s="2">
        <f t="shared" ca="1" si="8"/>
        <v>46054</v>
      </c>
      <c r="B93">
        <f t="shared" si="9"/>
        <v>84</v>
      </c>
      <c r="C93" s="6">
        <f t="shared" si="6"/>
        <v>2460.7562923616729</v>
      </c>
      <c r="D93" s="6">
        <f t="shared" si="7"/>
        <v>1560.2283829258158</v>
      </c>
      <c r="E93" s="6">
        <f t="shared" si="10"/>
        <v>900.52790943585694</v>
      </c>
      <c r="F93" s="6">
        <f t="shared" si="11"/>
        <v>189702.33645300838</v>
      </c>
      <c r="G93" s="6"/>
    </row>
    <row r="94" spans="1:7" x14ac:dyDescent="0.25">
      <c r="A94" s="2">
        <f t="shared" ca="1" si="8"/>
        <v>46082</v>
      </c>
      <c r="B94">
        <f t="shared" si="9"/>
        <v>85</v>
      </c>
      <c r="C94" s="6">
        <f t="shared" si="6"/>
        <v>2460.7562923616729</v>
      </c>
      <c r="D94" s="6">
        <f t="shared" si="7"/>
        <v>1567.5744582287584</v>
      </c>
      <c r="E94" s="6">
        <f t="shared" si="10"/>
        <v>893.18183413291445</v>
      </c>
      <c r="F94" s="6">
        <f t="shared" si="11"/>
        <v>188134.76199477963</v>
      </c>
      <c r="G94" s="6"/>
    </row>
    <row r="95" spans="1:7" x14ac:dyDescent="0.25">
      <c r="A95" s="2">
        <f t="shared" ca="1" si="8"/>
        <v>46113</v>
      </c>
      <c r="B95">
        <f t="shared" si="9"/>
        <v>86</v>
      </c>
      <c r="C95" s="6">
        <f t="shared" si="6"/>
        <v>2460.7562923616729</v>
      </c>
      <c r="D95" s="6">
        <f t="shared" si="7"/>
        <v>1574.9551213029188</v>
      </c>
      <c r="E95" s="6">
        <f t="shared" si="10"/>
        <v>885.80117105875411</v>
      </c>
      <c r="F95" s="6">
        <f t="shared" si="11"/>
        <v>186559.80687347671</v>
      </c>
      <c r="G95" s="6"/>
    </row>
    <row r="96" spans="1:7" x14ac:dyDescent="0.25">
      <c r="A96" s="2">
        <f t="shared" ca="1" si="8"/>
        <v>46143</v>
      </c>
      <c r="B96">
        <f t="shared" si="9"/>
        <v>87</v>
      </c>
      <c r="C96" s="6">
        <f t="shared" si="6"/>
        <v>2460.7562923616729</v>
      </c>
      <c r="D96" s="6">
        <f t="shared" si="7"/>
        <v>1582.3705349990532</v>
      </c>
      <c r="E96" s="6">
        <f t="shared" si="10"/>
        <v>878.38575736261953</v>
      </c>
      <c r="F96" s="6">
        <f t="shared" si="11"/>
        <v>184977.43633847765</v>
      </c>
      <c r="G96" s="6"/>
    </row>
    <row r="97" spans="1:7" x14ac:dyDescent="0.25">
      <c r="A97" s="2">
        <f t="shared" ca="1" si="8"/>
        <v>46174</v>
      </c>
      <c r="B97">
        <f t="shared" si="9"/>
        <v>88</v>
      </c>
      <c r="C97" s="6">
        <f t="shared" si="6"/>
        <v>2460.7562923616729</v>
      </c>
      <c r="D97" s="6">
        <f t="shared" si="7"/>
        <v>1589.8208629346739</v>
      </c>
      <c r="E97" s="6">
        <f t="shared" si="10"/>
        <v>870.93542942699901</v>
      </c>
      <c r="F97" s="6">
        <f t="shared" si="11"/>
        <v>183387.61547554299</v>
      </c>
      <c r="G97" s="6"/>
    </row>
    <row r="98" spans="1:7" x14ac:dyDescent="0.25">
      <c r="A98" s="2">
        <f t="shared" ca="1" si="8"/>
        <v>46204</v>
      </c>
      <c r="B98">
        <f t="shared" si="9"/>
        <v>89</v>
      </c>
      <c r="C98" s="6">
        <f t="shared" si="6"/>
        <v>2460.7562923616729</v>
      </c>
      <c r="D98" s="6">
        <f t="shared" si="7"/>
        <v>1597.3062694976579</v>
      </c>
      <c r="E98" s="6">
        <f t="shared" si="10"/>
        <v>863.45002286401495</v>
      </c>
      <c r="F98" s="6">
        <f t="shared" si="11"/>
        <v>181790.30920604532</v>
      </c>
      <c r="G98" s="6"/>
    </row>
    <row r="99" spans="1:7" x14ac:dyDescent="0.25">
      <c r="A99" s="2">
        <f t="shared" ca="1" si="8"/>
        <v>46235</v>
      </c>
      <c r="B99">
        <f t="shared" si="9"/>
        <v>90</v>
      </c>
      <c r="C99" s="6">
        <f t="shared" si="6"/>
        <v>2460.7562923616729</v>
      </c>
      <c r="D99" s="6">
        <f t="shared" si="7"/>
        <v>1604.826919849876</v>
      </c>
      <c r="E99" s="6">
        <f t="shared" si="10"/>
        <v>855.92937251179671</v>
      </c>
      <c r="F99" s="6">
        <f t="shared" si="11"/>
        <v>180185.48228619545</v>
      </c>
      <c r="G99" s="6"/>
    </row>
    <row r="100" spans="1:7" x14ac:dyDescent="0.25">
      <c r="A100" s="2">
        <f t="shared" ca="1" si="8"/>
        <v>46266</v>
      </c>
      <c r="B100">
        <f t="shared" si="9"/>
        <v>91</v>
      </c>
      <c r="C100" s="6">
        <f t="shared" si="6"/>
        <v>2460.7562923616729</v>
      </c>
      <c r="D100" s="6">
        <f t="shared" si="7"/>
        <v>1612.382979930836</v>
      </c>
      <c r="E100" s="6">
        <f t="shared" si="10"/>
        <v>848.3733124308369</v>
      </c>
      <c r="F100" s="6">
        <f t="shared" si="11"/>
        <v>178573.0993062646</v>
      </c>
      <c r="G100" s="6"/>
    </row>
    <row r="101" spans="1:7" x14ac:dyDescent="0.25">
      <c r="A101" s="2">
        <f t="shared" ca="1" si="8"/>
        <v>46296</v>
      </c>
      <c r="B101">
        <f t="shared" si="9"/>
        <v>92</v>
      </c>
      <c r="C101" s="6">
        <f t="shared" si="6"/>
        <v>2460.7562923616729</v>
      </c>
      <c r="D101" s="6">
        <f t="shared" si="7"/>
        <v>1619.9746164613437</v>
      </c>
      <c r="E101" s="6">
        <f t="shared" si="10"/>
        <v>840.78167590032922</v>
      </c>
      <c r="F101" s="6">
        <f t="shared" si="11"/>
        <v>176953.12468980326</v>
      </c>
      <c r="G101" s="6"/>
    </row>
    <row r="102" spans="1:7" x14ac:dyDescent="0.25">
      <c r="A102" s="2">
        <f t="shared" ca="1" si="8"/>
        <v>46327</v>
      </c>
      <c r="B102">
        <f t="shared" si="9"/>
        <v>93</v>
      </c>
      <c r="C102" s="6">
        <f t="shared" si="6"/>
        <v>2460.7562923616729</v>
      </c>
      <c r="D102" s="6">
        <f t="shared" si="7"/>
        <v>1627.6019969471827</v>
      </c>
      <c r="E102" s="6">
        <f t="shared" si="10"/>
        <v>833.15429541449032</v>
      </c>
      <c r="F102" s="6">
        <f t="shared" si="11"/>
        <v>175325.52269285606</v>
      </c>
      <c r="G102" s="6"/>
    </row>
    <row r="103" spans="1:7" x14ac:dyDescent="0.25">
      <c r="A103" s="2">
        <f t="shared" ca="1" si="8"/>
        <v>46357</v>
      </c>
      <c r="B103">
        <f t="shared" si="9"/>
        <v>94</v>
      </c>
      <c r="C103" s="6">
        <f t="shared" si="6"/>
        <v>2460.7562923616729</v>
      </c>
      <c r="D103" s="6">
        <f t="shared" si="7"/>
        <v>1635.265289682809</v>
      </c>
      <c r="E103" s="6">
        <f t="shared" si="10"/>
        <v>825.49100267886399</v>
      </c>
      <c r="F103" s="6">
        <f t="shared" si="11"/>
        <v>173690.25740317325</v>
      </c>
      <c r="G103" s="6"/>
    </row>
    <row r="104" spans="1:7" x14ac:dyDescent="0.25">
      <c r="A104" s="2">
        <f t="shared" ca="1" si="8"/>
        <v>46388</v>
      </c>
      <c r="B104">
        <f t="shared" si="9"/>
        <v>95</v>
      </c>
      <c r="C104" s="6">
        <f t="shared" si="6"/>
        <v>2460.7562923616729</v>
      </c>
      <c r="D104" s="6">
        <f t="shared" si="7"/>
        <v>1642.9646637550654</v>
      </c>
      <c r="E104" s="6">
        <f t="shared" si="10"/>
        <v>817.79162860660745</v>
      </c>
      <c r="F104" s="6">
        <f t="shared" si="11"/>
        <v>172047.29273941819</v>
      </c>
      <c r="G104" s="6"/>
    </row>
    <row r="105" spans="1:7" x14ac:dyDescent="0.25">
      <c r="A105" s="2">
        <f t="shared" ca="1" si="8"/>
        <v>46419</v>
      </c>
      <c r="B105">
        <f t="shared" si="9"/>
        <v>96</v>
      </c>
      <c r="C105" s="6">
        <f t="shared" si="6"/>
        <v>2460.7562923616729</v>
      </c>
      <c r="D105" s="6">
        <f t="shared" si="7"/>
        <v>1650.7002890469121</v>
      </c>
      <c r="E105" s="6">
        <f t="shared" si="10"/>
        <v>810.05600331476069</v>
      </c>
      <c r="F105" s="6">
        <f t="shared" si="11"/>
        <v>170396.59245037127</v>
      </c>
      <c r="G105" s="6"/>
    </row>
    <row r="106" spans="1:7" x14ac:dyDescent="0.25">
      <c r="A106" s="2">
        <f t="shared" ca="1" si="8"/>
        <v>46447</v>
      </c>
      <c r="B106">
        <f t="shared" si="9"/>
        <v>97</v>
      </c>
      <c r="C106" s="6">
        <f t="shared" si="6"/>
        <v>2460.7562923616729</v>
      </c>
      <c r="D106" s="6">
        <f t="shared" si="7"/>
        <v>1658.4723362411746</v>
      </c>
      <c r="E106" s="6">
        <f t="shared" si="10"/>
        <v>802.28395612049815</v>
      </c>
      <c r="F106" s="6">
        <f t="shared" si="11"/>
        <v>168738.12011413011</v>
      </c>
      <c r="G106" s="6"/>
    </row>
    <row r="107" spans="1:7" x14ac:dyDescent="0.25">
      <c r="A107" s="2">
        <f t="shared" ca="1" si="8"/>
        <v>46478</v>
      </c>
      <c r="B107">
        <f t="shared" si="9"/>
        <v>98</v>
      </c>
      <c r="C107" s="6">
        <f t="shared" si="6"/>
        <v>2460.7562923616729</v>
      </c>
      <c r="D107" s="6">
        <f t="shared" si="7"/>
        <v>1666.2809768243101</v>
      </c>
      <c r="E107" s="6">
        <f t="shared" si="10"/>
        <v>794.47531553736269</v>
      </c>
      <c r="F107" s="6">
        <f t="shared" si="11"/>
        <v>167071.8391373058</v>
      </c>
      <c r="G107" s="6"/>
    </row>
    <row r="108" spans="1:7" x14ac:dyDescent="0.25">
      <c r="A108" s="2">
        <f t="shared" ca="1" si="8"/>
        <v>46508</v>
      </c>
      <c r="B108">
        <f t="shared" si="9"/>
        <v>99</v>
      </c>
      <c r="C108" s="6">
        <f t="shared" si="6"/>
        <v>2460.7562923616729</v>
      </c>
      <c r="D108" s="6">
        <f t="shared" si="7"/>
        <v>1674.1263830901914</v>
      </c>
      <c r="E108" s="6">
        <f t="shared" si="10"/>
        <v>786.62990927148144</v>
      </c>
      <c r="F108" s="6">
        <f t="shared" si="11"/>
        <v>165397.71275421561</v>
      </c>
      <c r="G108" s="6"/>
    </row>
    <row r="109" spans="1:7" x14ac:dyDescent="0.25">
      <c r="A109" s="2">
        <f t="shared" ca="1" si="8"/>
        <v>46539</v>
      </c>
      <c r="B109">
        <f t="shared" si="9"/>
        <v>100</v>
      </c>
      <c r="C109" s="6">
        <f t="shared" si="6"/>
        <v>2460.7562923616729</v>
      </c>
      <c r="D109" s="6">
        <f t="shared" si="7"/>
        <v>1682.0087281439078</v>
      </c>
      <c r="E109" s="6">
        <f t="shared" si="10"/>
        <v>778.74756421776522</v>
      </c>
      <c r="F109" s="6">
        <f t="shared" si="11"/>
        <v>163715.7040260717</v>
      </c>
      <c r="G109" s="6"/>
    </row>
    <row r="110" spans="1:7" x14ac:dyDescent="0.25">
      <c r="A110" s="2">
        <f t="shared" ca="1" si="8"/>
        <v>46569</v>
      </c>
      <c r="B110">
        <f t="shared" si="9"/>
        <v>101</v>
      </c>
      <c r="C110" s="6">
        <f t="shared" si="6"/>
        <v>2460.7562923616729</v>
      </c>
      <c r="D110" s="6">
        <f t="shared" si="7"/>
        <v>1689.9281859055852</v>
      </c>
      <c r="E110" s="6">
        <f t="shared" si="10"/>
        <v>770.82810645608765</v>
      </c>
      <c r="F110" s="6">
        <f t="shared" si="11"/>
        <v>162025.77584016611</v>
      </c>
      <c r="G110" s="6"/>
    </row>
    <row r="111" spans="1:7" x14ac:dyDescent="0.25">
      <c r="A111" s="2">
        <f t="shared" ca="1" si="8"/>
        <v>46600</v>
      </c>
      <c r="B111">
        <f t="shared" si="9"/>
        <v>102</v>
      </c>
      <c r="C111" s="6">
        <f t="shared" si="6"/>
        <v>2460.7562923616729</v>
      </c>
      <c r="D111" s="6">
        <f t="shared" si="7"/>
        <v>1697.8849311142239</v>
      </c>
      <c r="E111" s="6">
        <f t="shared" si="10"/>
        <v>762.87136124744882</v>
      </c>
      <c r="F111" s="6">
        <f t="shared" si="11"/>
        <v>160327.8909090519</v>
      </c>
      <c r="G111" s="6"/>
    </row>
    <row r="112" spans="1:7" x14ac:dyDescent="0.25">
      <c r="A112" s="2">
        <f t="shared" ca="1" si="8"/>
        <v>46631</v>
      </c>
      <c r="B112">
        <f t="shared" si="9"/>
        <v>103</v>
      </c>
      <c r="C112" s="6">
        <f t="shared" si="6"/>
        <v>2460.7562923616729</v>
      </c>
      <c r="D112" s="6">
        <f t="shared" si="7"/>
        <v>1705.8791393315535</v>
      </c>
      <c r="E112" s="6">
        <f t="shared" si="10"/>
        <v>754.87715303011942</v>
      </c>
      <c r="F112" s="6">
        <f t="shared" si="11"/>
        <v>158622.01176972035</v>
      </c>
      <c r="G112" s="6"/>
    </row>
    <row r="113" spans="1:7" x14ac:dyDescent="0.25">
      <c r="A113" s="2">
        <f t="shared" ca="1" si="8"/>
        <v>46661</v>
      </c>
      <c r="B113">
        <f t="shared" si="9"/>
        <v>104</v>
      </c>
      <c r="C113" s="6">
        <f t="shared" si="6"/>
        <v>2460.7562923616729</v>
      </c>
      <c r="D113" s="6">
        <f t="shared" si="7"/>
        <v>1713.9109869459062</v>
      </c>
      <c r="E113" s="6">
        <f t="shared" si="10"/>
        <v>746.84530541576669</v>
      </c>
      <c r="F113" s="6">
        <f t="shared" si="11"/>
        <v>156908.10078277445</v>
      </c>
      <c r="G113" s="6"/>
    </row>
    <row r="114" spans="1:7" x14ac:dyDescent="0.25">
      <c r="A114" s="2">
        <f t="shared" ca="1" si="8"/>
        <v>46692</v>
      </c>
      <c r="B114">
        <f t="shared" si="9"/>
        <v>105</v>
      </c>
      <c r="C114" s="6">
        <f t="shared" si="6"/>
        <v>2460.7562923616729</v>
      </c>
      <c r="D114" s="6">
        <f t="shared" si="7"/>
        <v>1721.9806511761099</v>
      </c>
      <c r="E114" s="6">
        <f t="shared" si="10"/>
        <v>738.77564118556302</v>
      </c>
      <c r="F114" s="6">
        <f t="shared" si="11"/>
        <v>155186.12013159835</v>
      </c>
      <c r="G114" s="6"/>
    </row>
    <row r="115" spans="1:7" x14ac:dyDescent="0.25">
      <c r="A115" s="2">
        <f t="shared" ca="1" si="8"/>
        <v>46722</v>
      </c>
      <c r="B115">
        <f t="shared" si="9"/>
        <v>106</v>
      </c>
      <c r="C115" s="6">
        <f t="shared" si="6"/>
        <v>2460.7562923616729</v>
      </c>
      <c r="D115" s="6">
        <f t="shared" si="7"/>
        <v>1730.0883100753972</v>
      </c>
      <c r="E115" s="6">
        <f t="shared" si="10"/>
        <v>730.66798228627556</v>
      </c>
      <c r="F115" s="6">
        <f t="shared" si="11"/>
        <v>153456.03182152295</v>
      </c>
      <c r="G115" s="6"/>
    </row>
    <row r="116" spans="1:7" x14ac:dyDescent="0.25">
      <c r="A116" s="2">
        <f t="shared" ca="1" si="8"/>
        <v>46753</v>
      </c>
      <c r="B116">
        <f t="shared" si="9"/>
        <v>107</v>
      </c>
      <c r="C116" s="6">
        <f t="shared" si="6"/>
        <v>2460.7562923616729</v>
      </c>
      <c r="D116" s="6">
        <f t="shared" si="7"/>
        <v>1738.2341425353356</v>
      </c>
      <c r="E116" s="6">
        <f t="shared" si="10"/>
        <v>722.52214982633723</v>
      </c>
      <c r="F116" s="6">
        <f t="shared" si="11"/>
        <v>151717.79767898761</v>
      </c>
      <c r="G116" s="6"/>
    </row>
    <row r="117" spans="1:7" x14ac:dyDescent="0.25">
      <c r="A117" s="2">
        <f t="shared" ca="1" si="8"/>
        <v>46784</v>
      </c>
      <c r="B117">
        <f t="shared" si="9"/>
        <v>108</v>
      </c>
      <c r="C117" s="6">
        <f t="shared" si="6"/>
        <v>2460.7562923616729</v>
      </c>
      <c r="D117" s="6">
        <f t="shared" si="7"/>
        <v>1746.4183282897729</v>
      </c>
      <c r="E117" s="6">
        <f t="shared" si="10"/>
        <v>714.33796407190005</v>
      </c>
      <c r="F117" s="6">
        <f t="shared" si="11"/>
        <v>149971.37935069783</v>
      </c>
      <c r="G117" s="6"/>
    </row>
    <row r="118" spans="1:7" x14ac:dyDescent="0.25">
      <c r="A118" s="2">
        <f t="shared" ca="1" si="8"/>
        <v>46813</v>
      </c>
      <c r="B118">
        <f t="shared" si="9"/>
        <v>109</v>
      </c>
      <c r="C118" s="6">
        <f t="shared" si="6"/>
        <v>2460.7562923616729</v>
      </c>
      <c r="D118" s="6">
        <f t="shared" si="7"/>
        <v>1754.6410479188039</v>
      </c>
      <c r="E118" s="6">
        <f t="shared" si="10"/>
        <v>706.11524444286897</v>
      </c>
      <c r="F118" s="6">
        <f t="shared" si="11"/>
        <v>148216.73830277903</v>
      </c>
      <c r="G118" s="6"/>
    </row>
    <row r="119" spans="1:7" x14ac:dyDescent="0.25">
      <c r="A119" s="2">
        <f t="shared" ca="1" si="8"/>
        <v>46844</v>
      </c>
      <c r="B119">
        <f t="shared" si="9"/>
        <v>110</v>
      </c>
      <c r="C119" s="6">
        <f t="shared" si="6"/>
        <v>2460.7562923616729</v>
      </c>
      <c r="D119" s="6">
        <f t="shared" si="7"/>
        <v>1762.9024828527549</v>
      </c>
      <c r="E119" s="6">
        <f t="shared" si="10"/>
        <v>697.85380950891795</v>
      </c>
      <c r="F119" s="6">
        <f t="shared" si="11"/>
        <v>146453.83581992629</v>
      </c>
      <c r="G119" s="6"/>
    </row>
    <row r="120" spans="1:7" x14ac:dyDescent="0.25">
      <c r="A120" s="2">
        <f t="shared" ca="1" si="8"/>
        <v>46874</v>
      </c>
      <c r="B120">
        <f t="shared" si="9"/>
        <v>111</v>
      </c>
      <c r="C120" s="6">
        <f t="shared" si="6"/>
        <v>2460.7562923616729</v>
      </c>
      <c r="D120" s="6">
        <f t="shared" si="7"/>
        <v>1771.2028153761867</v>
      </c>
      <c r="E120" s="6">
        <f t="shared" si="10"/>
        <v>689.55347698548633</v>
      </c>
      <c r="F120" s="6">
        <f t="shared" si="11"/>
        <v>144682.63300455009</v>
      </c>
      <c r="G120" s="6"/>
    </row>
    <row r="121" spans="1:7" x14ac:dyDescent="0.25">
      <c r="A121" s="2">
        <f t="shared" ca="1" si="8"/>
        <v>46905</v>
      </c>
      <c r="B121">
        <f t="shared" si="9"/>
        <v>112</v>
      </c>
      <c r="C121" s="6">
        <f t="shared" si="6"/>
        <v>2460.7562923616729</v>
      </c>
      <c r="D121" s="6">
        <f t="shared" si="7"/>
        <v>1779.5422286319163</v>
      </c>
      <c r="E121" s="6">
        <f t="shared" si="10"/>
        <v>681.21406372975673</v>
      </c>
      <c r="F121" s="6">
        <f t="shared" si="11"/>
        <v>142903.09077591819</v>
      </c>
      <c r="G121" s="6"/>
    </row>
    <row r="122" spans="1:7" x14ac:dyDescent="0.25">
      <c r="A122" s="2">
        <f t="shared" ca="1" si="8"/>
        <v>46935</v>
      </c>
      <c r="B122">
        <f t="shared" si="9"/>
        <v>113</v>
      </c>
      <c r="C122" s="6">
        <f t="shared" si="6"/>
        <v>2460.7562923616729</v>
      </c>
      <c r="D122" s="6">
        <f t="shared" si="7"/>
        <v>1787.920906625058</v>
      </c>
      <c r="E122" s="6">
        <f t="shared" si="10"/>
        <v>672.83538573661485</v>
      </c>
      <c r="F122" s="6">
        <f t="shared" si="11"/>
        <v>141115.16986929314</v>
      </c>
      <c r="G122" s="6"/>
    </row>
    <row r="123" spans="1:7" x14ac:dyDescent="0.25">
      <c r="A123" s="2">
        <f t="shared" ca="1" si="8"/>
        <v>46966</v>
      </c>
      <c r="B123">
        <f t="shared" si="9"/>
        <v>114</v>
      </c>
      <c r="C123" s="6">
        <f t="shared" si="6"/>
        <v>2460.7562923616729</v>
      </c>
      <c r="D123" s="6">
        <f t="shared" si="7"/>
        <v>1796.3390342270843</v>
      </c>
      <c r="E123" s="6">
        <f t="shared" si="10"/>
        <v>664.41725813458856</v>
      </c>
      <c r="F123" s="6">
        <f t="shared" si="11"/>
        <v>139318.83083506607</v>
      </c>
      <c r="G123" s="6"/>
    </row>
    <row r="124" spans="1:7" x14ac:dyDescent="0.25">
      <c r="A124" s="2">
        <f t="shared" ca="1" si="8"/>
        <v>46997</v>
      </c>
      <c r="B124">
        <f t="shared" si="9"/>
        <v>115</v>
      </c>
      <c r="C124" s="6">
        <f t="shared" si="6"/>
        <v>2460.7562923616729</v>
      </c>
      <c r="D124" s="6">
        <f t="shared" si="7"/>
        <v>1804.7967971799035</v>
      </c>
      <c r="E124" s="6">
        <f t="shared" si="10"/>
        <v>655.9594951817694</v>
      </c>
      <c r="F124" s="6">
        <f t="shared" si="11"/>
        <v>137514.03403788616</v>
      </c>
      <c r="G124" s="6"/>
    </row>
    <row r="125" spans="1:7" x14ac:dyDescent="0.25">
      <c r="A125" s="2">
        <f t="shared" ca="1" si="8"/>
        <v>47027</v>
      </c>
      <c r="B125">
        <f t="shared" si="9"/>
        <v>116</v>
      </c>
      <c r="C125" s="6">
        <f t="shared" si="6"/>
        <v>2460.7562923616729</v>
      </c>
      <c r="D125" s="6">
        <f t="shared" si="7"/>
        <v>1813.294382099959</v>
      </c>
      <c r="E125" s="6">
        <f t="shared" si="10"/>
        <v>647.46191026171402</v>
      </c>
      <c r="F125" s="6">
        <f t="shared" si="11"/>
        <v>135700.73965578619</v>
      </c>
      <c r="G125" s="6"/>
    </row>
    <row r="126" spans="1:7" x14ac:dyDescent="0.25">
      <c r="A126" s="2">
        <f t="shared" ca="1" si="8"/>
        <v>47058</v>
      </c>
      <c r="B126">
        <f t="shared" si="9"/>
        <v>117</v>
      </c>
      <c r="C126" s="6">
        <f t="shared" si="6"/>
        <v>2460.7562923616729</v>
      </c>
      <c r="D126" s="6">
        <f t="shared" si="7"/>
        <v>1821.8319764823464</v>
      </c>
      <c r="E126" s="6">
        <f t="shared" si="10"/>
        <v>638.92431587932663</v>
      </c>
      <c r="F126" s="6">
        <f t="shared" si="11"/>
        <v>133878.90767930384</v>
      </c>
      <c r="G126" s="6"/>
    </row>
    <row r="127" spans="1:7" x14ac:dyDescent="0.25">
      <c r="A127" s="2">
        <f t="shared" ca="1" si="8"/>
        <v>47088</v>
      </c>
      <c r="B127">
        <f t="shared" si="9"/>
        <v>118</v>
      </c>
      <c r="C127" s="6">
        <f t="shared" si="6"/>
        <v>2460.7562923616729</v>
      </c>
      <c r="D127" s="6">
        <f t="shared" si="7"/>
        <v>1830.4097687049507</v>
      </c>
      <c r="E127" s="6">
        <f t="shared" si="10"/>
        <v>630.3465236567223</v>
      </c>
      <c r="F127" s="6">
        <f t="shared" si="11"/>
        <v>132048.49791059888</v>
      </c>
      <c r="G127" s="6"/>
    </row>
    <row r="128" spans="1:7" x14ac:dyDescent="0.25">
      <c r="A128" s="2">
        <f t="shared" ca="1" si="8"/>
        <v>47119</v>
      </c>
      <c r="B128">
        <f t="shared" si="9"/>
        <v>119</v>
      </c>
      <c r="C128" s="6">
        <f t="shared" si="6"/>
        <v>2460.7562923616729</v>
      </c>
      <c r="D128" s="6">
        <f t="shared" si="7"/>
        <v>1839.027948032603</v>
      </c>
      <c r="E128" s="6">
        <f t="shared" si="10"/>
        <v>621.72834432906973</v>
      </c>
      <c r="F128" s="6">
        <f t="shared" si="11"/>
        <v>130209.46996256628</v>
      </c>
      <c r="G128" s="6"/>
    </row>
    <row r="129" spans="1:7" x14ac:dyDescent="0.25">
      <c r="A129" s="2">
        <f t="shared" ca="1" si="8"/>
        <v>47150</v>
      </c>
      <c r="B129">
        <f t="shared" si="9"/>
        <v>120</v>
      </c>
      <c r="C129" s="6">
        <f t="shared" si="6"/>
        <v>2460.7562923616729</v>
      </c>
      <c r="D129" s="6">
        <f t="shared" si="7"/>
        <v>1847.6867046212567</v>
      </c>
      <c r="E129" s="6">
        <f t="shared" si="10"/>
        <v>613.06958774041618</v>
      </c>
      <c r="F129" s="6">
        <f t="shared" si="11"/>
        <v>128361.78325794502</v>
      </c>
      <c r="G129" s="6"/>
    </row>
    <row r="130" spans="1:7" x14ac:dyDescent="0.25">
      <c r="A130" s="2">
        <f t="shared" ca="1" si="8"/>
        <v>47178</v>
      </c>
      <c r="B130">
        <f t="shared" si="9"/>
        <v>121</v>
      </c>
      <c r="C130" s="6">
        <f t="shared" si="6"/>
        <v>2460.7562923616729</v>
      </c>
      <c r="D130" s="6">
        <f t="shared" si="7"/>
        <v>1856.3862295221816</v>
      </c>
      <c r="E130" s="6">
        <f t="shared" si="10"/>
        <v>604.3700628394912</v>
      </c>
      <c r="F130" s="6">
        <f t="shared" si="11"/>
        <v>126505.39702842284</v>
      </c>
      <c r="G130" s="6"/>
    </row>
    <row r="131" spans="1:7" x14ac:dyDescent="0.25">
      <c r="A131" s="2">
        <f t="shared" ca="1" si="8"/>
        <v>47209</v>
      </c>
      <c r="B131">
        <f t="shared" si="9"/>
        <v>122</v>
      </c>
      <c r="C131" s="6">
        <f t="shared" si="6"/>
        <v>2460.7562923616729</v>
      </c>
      <c r="D131" s="6">
        <f t="shared" si="7"/>
        <v>1865.1267146861819</v>
      </c>
      <c r="E131" s="6">
        <f t="shared" si="10"/>
        <v>595.62957767549085</v>
      </c>
      <c r="F131" s="6">
        <f t="shared" si="11"/>
        <v>124640.27031373666</v>
      </c>
      <c r="G131" s="6"/>
    </row>
    <row r="132" spans="1:7" x14ac:dyDescent="0.25">
      <c r="A132" s="2">
        <f t="shared" ca="1" si="8"/>
        <v>47239</v>
      </c>
      <c r="B132">
        <f t="shared" si="9"/>
        <v>123</v>
      </c>
      <c r="C132" s="6">
        <f t="shared" si="6"/>
        <v>2460.7562923616729</v>
      </c>
      <c r="D132" s="6">
        <f t="shared" si="7"/>
        <v>1873.9083529678294</v>
      </c>
      <c r="E132" s="6">
        <f t="shared" si="10"/>
        <v>586.84793939384349</v>
      </c>
      <c r="F132" s="6">
        <f t="shared" si="11"/>
        <v>122766.36196076883</v>
      </c>
      <c r="G132" s="6"/>
    </row>
    <row r="133" spans="1:7" x14ac:dyDescent="0.25">
      <c r="A133" s="2">
        <f t="shared" ca="1" si="8"/>
        <v>47270</v>
      </c>
      <c r="B133">
        <f t="shared" si="9"/>
        <v>124</v>
      </c>
      <c r="C133" s="6">
        <f t="shared" si="6"/>
        <v>2460.7562923616729</v>
      </c>
      <c r="D133" s="6">
        <f t="shared" si="7"/>
        <v>1882.7313381297195</v>
      </c>
      <c r="E133" s="6">
        <f t="shared" si="10"/>
        <v>578.0249542319533</v>
      </c>
      <c r="F133" s="6">
        <f t="shared" si="11"/>
        <v>120883.63062263912</v>
      </c>
      <c r="G133" s="6"/>
    </row>
    <row r="134" spans="1:7" x14ac:dyDescent="0.25">
      <c r="A134" s="2">
        <f t="shared" ca="1" si="8"/>
        <v>47300</v>
      </c>
      <c r="B134">
        <f t="shared" si="9"/>
        <v>125</v>
      </c>
      <c r="C134" s="6">
        <f t="shared" si="6"/>
        <v>2460.7562923616729</v>
      </c>
      <c r="D134" s="6">
        <f t="shared" si="7"/>
        <v>1891.595864846747</v>
      </c>
      <c r="E134" s="6">
        <f t="shared" si="10"/>
        <v>569.16042751492591</v>
      </c>
      <c r="F134" s="6">
        <f t="shared" si="11"/>
        <v>118992.03475779237</v>
      </c>
      <c r="G134" s="6"/>
    </row>
    <row r="135" spans="1:7" x14ac:dyDescent="0.25">
      <c r="A135" s="2">
        <f t="shared" ca="1" si="8"/>
        <v>47331</v>
      </c>
      <c r="B135">
        <f t="shared" si="9"/>
        <v>126</v>
      </c>
      <c r="C135" s="6">
        <f t="shared" si="6"/>
        <v>2460.7562923616729</v>
      </c>
      <c r="D135" s="6">
        <f t="shared" si="7"/>
        <v>1900.5021287104005</v>
      </c>
      <c r="E135" s="6">
        <f t="shared" si="10"/>
        <v>560.25416365127239</v>
      </c>
      <c r="F135" s="6">
        <f t="shared" si="11"/>
        <v>117091.53262908196</v>
      </c>
      <c r="G135" s="6"/>
    </row>
    <row r="136" spans="1:7" x14ac:dyDescent="0.25">
      <c r="A136" s="2">
        <f t="shared" ca="1" si="8"/>
        <v>47362</v>
      </c>
      <c r="B136">
        <f t="shared" si="9"/>
        <v>127</v>
      </c>
      <c r="C136" s="6">
        <f t="shared" si="6"/>
        <v>2460.7562923616729</v>
      </c>
      <c r="D136" s="6">
        <f t="shared" si="7"/>
        <v>1909.4503262330786</v>
      </c>
      <c r="E136" s="6">
        <f t="shared" si="10"/>
        <v>551.30596612859426</v>
      </c>
      <c r="F136" s="6">
        <f t="shared" si="11"/>
        <v>115182.08230284888</v>
      </c>
      <c r="G136" s="6"/>
    </row>
    <row r="137" spans="1:7" x14ac:dyDescent="0.25">
      <c r="A137" s="2">
        <f t="shared" ca="1" si="8"/>
        <v>47392</v>
      </c>
      <c r="B137">
        <f t="shared" si="9"/>
        <v>128</v>
      </c>
      <c r="C137" s="6">
        <f t="shared" si="6"/>
        <v>2460.7562923616729</v>
      </c>
      <c r="D137" s="6">
        <f t="shared" si="7"/>
        <v>1918.4406548524262</v>
      </c>
      <c r="E137" s="6">
        <f t="shared" si="10"/>
        <v>542.31563750924681</v>
      </c>
      <c r="F137" s="6">
        <f t="shared" si="11"/>
        <v>113263.64164799645</v>
      </c>
      <c r="G137" s="6"/>
    </row>
    <row r="138" spans="1:7" x14ac:dyDescent="0.25">
      <c r="A138" s="2">
        <f t="shared" ca="1" si="8"/>
        <v>47423</v>
      </c>
      <c r="B138">
        <f t="shared" si="9"/>
        <v>129</v>
      </c>
      <c r="C138" s="6">
        <f t="shared" si="6"/>
        <v>2460.7562923616729</v>
      </c>
      <c r="D138" s="6">
        <f t="shared" si="7"/>
        <v>1927.4733129356896</v>
      </c>
      <c r="E138" s="6">
        <f t="shared" si="10"/>
        <v>533.28297942598329</v>
      </c>
      <c r="F138" s="6">
        <f t="shared" si="11"/>
        <v>111336.16833506076</v>
      </c>
      <c r="G138" s="6"/>
    </row>
    <row r="139" spans="1:7" x14ac:dyDescent="0.25">
      <c r="A139" s="2">
        <f t="shared" ca="1" si="8"/>
        <v>47453</v>
      </c>
      <c r="B139">
        <f t="shared" si="9"/>
        <v>130</v>
      </c>
      <c r="C139" s="6">
        <f t="shared" ref="C139:C202" si="12">-PMT($C$4/12,$C$5,$C$3,0)</f>
        <v>2460.7562923616729</v>
      </c>
      <c r="D139" s="6">
        <f t="shared" ref="D139:D202" si="13">C139-E139</f>
        <v>1936.5484997840952</v>
      </c>
      <c r="E139" s="6">
        <f t="shared" si="10"/>
        <v>524.20779257757772</v>
      </c>
      <c r="F139" s="6">
        <f t="shared" si="11"/>
        <v>109399.61983527667</v>
      </c>
      <c r="G139" s="6"/>
    </row>
    <row r="140" spans="1:7" x14ac:dyDescent="0.25">
      <c r="A140" s="2">
        <f t="shared" ref="A140:A203" ca="1" si="14">DATE(YEAR(A139),MONTH(A139)+1,1)</f>
        <v>47484</v>
      </c>
      <c r="B140">
        <f t="shared" ref="B140:B203" si="15">B139+1</f>
        <v>131</v>
      </c>
      <c r="C140" s="6">
        <f t="shared" si="12"/>
        <v>2460.7562923616729</v>
      </c>
      <c r="D140" s="6">
        <f t="shared" si="13"/>
        <v>1945.6664156372453</v>
      </c>
      <c r="E140" s="6">
        <f t="shared" ref="E140:E203" si="16">($C$4/12)*F139</f>
        <v>515.08987672442765</v>
      </c>
      <c r="F140" s="6">
        <f t="shared" si="11"/>
        <v>107453.95341963942</v>
      </c>
      <c r="G140" s="6"/>
    </row>
    <row r="141" spans="1:7" x14ac:dyDescent="0.25">
      <c r="A141" s="2">
        <f t="shared" ca="1" si="14"/>
        <v>47515</v>
      </c>
      <c r="B141">
        <f t="shared" si="15"/>
        <v>132</v>
      </c>
      <c r="C141" s="6">
        <f t="shared" si="12"/>
        <v>2460.7562923616729</v>
      </c>
      <c r="D141" s="6">
        <f t="shared" si="13"/>
        <v>1954.8272616775373</v>
      </c>
      <c r="E141" s="6">
        <f t="shared" si="16"/>
        <v>505.92903068413563</v>
      </c>
      <c r="F141" s="6">
        <f t="shared" si="11"/>
        <v>105499.12615796189</v>
      </c>
      <c r="G141" s="6"/>
    </row>
    <row r="142" spans="1:7" x14ac:dyDescent="0.25">
      <c r="A142" s="2">
        <f t="shared" ca="1" si="14"/>
        <v>47543</v>
      </c>
      <c r="B142">
        <f t="shared" si="15"/>
        <v>133</v>
      </c>
      <c r="C142" s="6">
        <f t="shared" si="12"/>
        <v>2460.7562923616729</v>
      </c>
      <c r="D142" s="6">
        <f t="shared" si="13"/>
        <v>1964.0312400346024</v>
      </c>
      <c r="E142" s="6">
        <f t="shared" si="16"/>
        <v>496.72505232707056</v>
      </c>
      <c r="F142" s="6">
        <f t="shared" ref="F142:F205" si="17">F141-D142</f>
        <v>103535.09491792729</v>
      </c>
      <c r="G142" s="6"/>
    </row>
    <row r="143" spans="1:7" x14ac:dyDescent="0.25">
      <c r="A143" s="2">
        <f t="shared" ca="1" si="14"/>
        <v>47574</v>
      </c>
      <c r="B143">
        <f t="shared" si="15"/>
        <v>134</v>
      </c>
      <c r="C143" s="6">
        <f t="shared" si="12"/>
        <v>2460.7562923616729</v>
      </c>
      <c r="D143" s="6">
        <f t="shared" si="13"/>
        <v>1973.2785537897653</v>
      </c>
      <c r="E143" s="6">
        <f t="shared" si="16"/>
        <v>487.47773857190765</v>
      </c>
      <c r="F143" s="6">
        <f t="shared" si="17"/>
        <v>101561.81636413751</v>
      </c>
      <c r="G143" s="6"/>
    </row>
    <row r="144" spans="1:7" x14ac:dyDescent="0.25">
      <c r="A144" s="2">
        <f t="shared" ca="1" si="14"/>
        <v>47604</v>
      </c>
      <c r="B144">
        <f t="shared" si="15"/>
        <v>135</v>
      </c>
      <c r="C144" s="6">
        <f t="shared" si="12"/>
        <v>2460.7562923616729</v>
      </c>
      <c r="D144" s="6">
        <f t="shared" si="13"/>
        <v>1982.5694069805254</v>
      </c>
      <c r="E144" s="6">
        <f t="shared" si="16"/>
        <v>478.18688538114748</v>
      </c>
      <c r="F144" s="6">
        <f t="shared" si="17"/>
        <v>99579.246957156982</v>
      </c>
      <c r="G144" s="6"/>
    </row>
    <row r="145" spans="1:7" x14ac:dyDescent="0.25">
      <c r="A145" s="2">
        <f t="shared" ca="1" si="14"/>
        <v>47635</v>
      </c>
      <c r="B145">
        <f t="shared" si="15"/>
        <v>136</v>
      </c>
      <c r="C145" s="6">
        <f t="shared" si="12"/>
        <v>2460.7562923616729</v>
      </c>
      <c r="D145" s="6">
        <f t="shared" si="13"/>
        <v>1991.9040046050586</v>
      </c>
      <c r="E145" s="6">
        <f t="shared" si="16"/>
        <v>468.85228775661415</v>
      </c>
      <c r="F145" s="6">
        <f t="shared" si="17"/>
        <v>97587.342952551917</v>
      </c>
      <c r="G145" s="6"/>
    </row>
    <row r="146" spans="1:7" x14ac:dyDescent="0.25">
      <c r="A146" s="2">
        <f t="shared" ca="1" si="14"/>
        <v>47665</v>
      </c>
      <c r="B146">
        <f t="shared" si="15"/>
        <v>137</v>
      </c>
      <c r="C146" s="6">
        <f t="shared" si="12"/>
        <v>2460.7562923616729</v>
      </c>
      <c r="D146" s="6">
        <f t="shared" si="13"/>
        <v>2001.2825526267409</v>
      </c>
      <c r="E146" s="6">
        <f t="shared" si="16"/>
        <v>459.47373973493194</v>
      </c>
      <c r="F146" s="6">
        <f t="shared" si="17"/>
        <v>95586.060399925176</v>
      </c>
      <c r="G146" s="6"/>
    </row>
    <row r="147" spans="1:7" x14ac:dyDescent="0.25">
      <c r="A147" s="2">
        <f t="shared" ca="1" si="14"/>
        <v>47696</v>
      </c>
      <c r="B147">
        <f t="shared" si="15"/>
        <v>138</v>
      </c>
      <c r="C147" s="6">
        <f t="shared" si="12"/>
        <v>2460.7562923616729</v>
      </c>
      <c r="D147" s="6">
        <f t="shared" si="13"/>
        <v>2010.7052579786919</v>
      </c>
      <c r="E147" s="6">
        <f t="shared" si="16"/>
        <v>450.05103438298107</v>
      </c>
      <c r="F147" s="6">
        <f t="shared" si="17"/>
        <v>93575.355141946478</v>
      </c>
      <c r="G147" s="6"/>
    </row>
    <row r="148" spans="1:7" x14ac:dyDescent="0.25">
      <c r="A148" s="2">
        <f t="shared" ca="1" si="14"/>
        <v>47727</v>
      </c>
      <c r="B148">
        <f t="shared" si="15"/>
        <v>139</v>
      </c>
      <c r="C148" s="6">
        <f t="shared" si="12"/>
        <v>2460.7562923616729</v>
      </c>
      <c r="D148" s="6">
        <f t="shared" si="13"/>
        <v>2020.1723285683415</v>
      </c>
      <c r="E148" s="6">
        <f t="shared" si="16"/>
        <v>440.58396379333135</v>
      </c>
      <c r="F148" s="6">
        <f t="shared" si="17"/>
        <v>91555.182813378138</v>
      </c>
      <c r="G148" s="6"/>
    </row>
    <row r="149" spans="1:7" x14ac:dyDescent="0.25">
      <c r="A149" s="2">
        <f t="shared" ca="1" si="14"/>
        <v>47757</v>
      </c>
      <c r="B149">
        <f t="shared" si="15"/>
        <v>140</v>
      </c>
      <c r="C149" s="6">
        <f t="shared" si="12"/>
        <v>2460.7562923616729</v>
      </c>
      <c r="D149" s="6">
        <f t="shared" si="13"/>
        <v>2029.6839732820174</v>
      </c>
      <c r="E149" s="6">
        <f t="shared" si="16"/>
        <v>431.07231907965541</v>
      </c>
      <c r="F149" s="6">
        <f t="shared" si="17"/>
        <v>89525.498840096116</v>
      </c>
      <c r="G149" s="6"/>
    </row>
    <row r="150" spans="1:7" x14ac:dyDescent="0.25">
      <c r="A150" s="2">
        <f t="shared" ca="1" si="14"/>
        <v>47788</v>
      </c>
      <c r="B150">
        <f t="shared" si="15"/>
        <v>141</v>
      </c>
      <c r="C150" s="6">
        <f t="shared" si="12"/>
        <v>2460.7562923616729</v>
      </c>
      <c r="D150" s="6">
        <f t="shared" si="13"/>
        <v>2039.2404019895537</v>
      </c>
      <c r="E150" s="6">
        <f t="shared" si="16"/>
        <v>421.5158903721192</v>
      </c>
      <c r="F150" s="6">
        <f t="shared" si="17"/>
        <v>87486.258438106568</v>
      </c>
      <c r="G150" s="6"/>
    </row>
    <row r="151" spans="1:7" x14ac:dyDescent="0.25">
      <c r="A151" s="2">
        <f t="shared" ca="1" si="14"/>
        <v>47818</v>
      </c>
      <c r="B151">
        <f t="shared" si="15"/>
        <v>142</v>
      </c>
      <c r="C151" s="6">
        <f t="shared" si="12"/>
        <v>2460.7562923616729</v>
      </c>
      <c r="D151" s="6">
        <f t="shared" si="13"/>
        <v>2048.841825548921</v>
      </c>
      <c r="E151" s="6">
        <f t="shared" si="16"/>
        <v>411.91446681275175</v>
      </c>
      <c r="F151" s="6">
        <f t="shared" si="17"/>
        <v>85437.416612557645</v>
      </c>
      <c r="G151" s="6"/>
    </row>
    <row r="152" spans="1:7" x14ac:dyDescent="0.25">
      <c r="A152" s="2">
        <f t="shared" ca="1" si="14"/>
        <v>47849</v>
      </c>
      <c r="B152">
        <f t="shared" si="15"/>
        <v>143</v>
      </c>
      <c r="C152" s="6">
        <f t="shared" si="12"/>
        <v>2460.7562923616729</v>
      </c>
      <c r="D152" s="6">
        <f t="shared" si="13"/>
        <v>2058.4884558108806</v>
      </c>
      <c r="E152" s="6">
        <f t="shared" si="16"/>
        <v>402.26783655079225</v>
      </c>
      <c r="F152" s="6">
        <f t="shared" si="17"/>
        <v>83378.92815674677</v>
      </c>
      <c r="G152" s="6"/>
    </row>
    <row r="153" spans="1:7" x14ac:dyDescent="0.25">
      <c r="A153" s="2">
        <f t="shared" ca="1" si="14"/>
        <v>47880</v>
      </c>
      <c r="B153">
        <f t="shared" si="15"/>
        <v>144</v>
      </c>
      <c r="C153" s="6">
        <f t="shared" si="12"/>
        <v>2460.7562923616729</v>
      </c>
      <c r="D153" s="6">
        <f t="shared" si="13"/>
        <v>2068.1805056236567</v>
      </c>
      <c r="E153" s="6">
        <f t="shared" si="16"/>
        <v>392.57578673801606</v>
      </c>
      <c r="F153" s="6">
        <f t="shared" si="17"/>
        <v>81310.747651123107</v>
      </c>
      <c r="G153" s="6"/>
    </row>
    <row r="154" spans="1:7" x14ac:dyDescent="0.25">
      <c r="A154" s="2">
        <f t="shared" ca="1" si="14"/>
        <v>47908</v>
      </c>
      <c r="B154">
        <f t="shared" si="15"/>
        <v>145</v>
      </c>
      <c r="C154" s="6">
        <f t="shared" si="12"/>
        <v>2460.7562923616729</v>
      </c>
      <c r="D154" s="6">
        <f t="shared" si="13"/>
        <v>2077.9181888376347</v>
      </c>
      <c r="E154" s="6">
        <f t="shared" si="16"/>
        <v>382.83810352403799</v>
      </c>
      <c r="F154" s="6">
        <f t="shared" si="17"/>
        <v>79232.829462285474</v>
      </c>
      <c r="G154" s="6"/>
    </row>
    <row r="155" spans="1:7" x14ac:dyDescent="0.25">
      <c r="A155" s="2">
        <f t="shared" ca="1" si="14"/>
        <v>47939</v>
      </c>
      <c r="B155">
        <f t="shared" si="15"/>
        <v>146</v>
      </c>
      <c r="C155" s="6">
        <f t="shared" si="12"/>
        <v>2460.7562923616729</v>
      </c>
      <c r="D155" s="6">
        <f t="shared" si="13"/>
        <v>2087.7017203100786</v>
      </c>
      <c r="E155" s="6">
        <f t="shared" si="16"/>
        <v>373.05457205159411</v>
      </c>
      <c r="F155" s="6">
        <f t="shared" si="17"/>
        <v>77145.12774197539</v>
      </c>
      <c r="G155" s="6"/>
    </row>
    <row r="156" spans="1:7" x14ac:dyDescent="0.25">
      <c r="A156" s="2">
        <f t="shared" ca="1" si="14"/>
        <v>47969</v>
      </c>
      <c r="B156">
        <f t="shared" si="15"/>
        <v>147</v>
      </c>
      <c r="C156" s="6">
        <f t="shared" si="12"/>
        <v>2460.7562923616729</v>
      </c>
      <c r="D156" s="6">
        <f t="shared" si="13"/>
        <v>2097.5313159098723</v>
      </c>
      <c r="E156" s="6">
        <f t="shared" si="16"/>
        <v>363.22497645180079</v>
      </c>
      <c r="F156" s="6">
        <f t="shared" si="17"/>
        <v>75047.596426065516</v>
      </c>
      <c r="G156" s="6"/>
    </row>
    <row r="157" spans="1:7" x14ac:dyDescent="0.25">
      <c r="A157" s="2">
        <f t="shared" ca="1" si="14"/>
        <v>48000</v>
      </c>
      <c r="B157">
        <f t="shared" si="15"/>
        <v>148</v>
      </c>
      <c r="C157" s="6">
        <f t="shared" si="12"/>
        <v>2460.7562923616729</v>
      </c>
      <c r="D157" s="6">
        <f t="shared" si="13"/>
        <v>2107.4071925222811</v>
      </c>
      <c r="E157" s="6">
        <f t="shared" si="16"/>
        <v>353.34909983939184</v>
      </c>
      <c r="F157" s="6">
        <f t="shared" si="17"/>
        <v>72940.189233543235</v>
      </c>
      <c r="G157" s="6"/>
    </row>
    <row r="158" spans="1:7" x14ac:dyDescent="0.25">
      <c r="A158" s="2">
        <f t="shared" ca="1" si="14"/>
        <v>48030</v>
      </c>
      <c r="B158">
        <f t="shared" si="15"/>
        <v>149</v>
      </c>
      <c r="C158" s="6">
        <f t="shared" si="12"/>
        <v>2460.7562923616729</v>
      </c>
      <c r="D158" s="6">
        <f t="shared" si="13"/>
        <v>2117.3295680537403</v>
      </c>
      <c r="E158" s="6">
        <f t="shared" si="16"/>
        <v>343.42672430793272</v>
      </c>
      <c r="F158" s="6">
        <f t="shared" si="17"/>
        <v>70822.859665489494</v>
      </c>
      <c r="G158" s="6"/>
    </row>
    <row r="159" spans="1:7" x14ac:dyDescent="0.25">
      <c r="A159" s="2">
        <f t="shared" ca="1" si="14"/>
        <v>48061</v>
      </c>
      <c r="B159">
        <f t="shared" si="15"/>
        <v>150</v>
      </c>
      <c r="C159" s="6">
        <f t="shared" si="12"/>
        <v>2460.7562923616729</v>
      </c>
      <c r="D159" s="6">
        <f t="shared" si="13"/>
        <v>2127.29866143666</v>
      </c>
      <c r="E159" s="6">
        <f t="shared" si="16"/>
        <v>333.45763092501306</v>
      </c>
      <c r="F159" s="6">
        <f t="shared" si="17"/>
        <v>68695.561004052841</v>
      </c>
      <c r="G159" s="6"/>
    </row>
    <row r="160" spans="1:7" x14ac:dyDescent="0.25">
      <c r="A160" s="2">
        <f t="shared" ca="1" si="14"/>
        <v>48092</v>
      </c>
      <c r="B160">
        <f t="shared" si="15"/>
        <v>151</v>
      </c>
      <c r="C160" s="6">
        <f t="shared" si="12"/>
        <v>2460.7562923616729</v>
      </c>
      <c r="D160" s="6">
        <f t="shared" si="13"/>
        <v>2137.3146926342574</v>
      </c>
      <c r="E160" s="6">
        <f t="shared" si="16"/>
        <v>323.44159972741545</v>
      </c>
      <c r="F160" s="6">
        <f t="shared" si="17"/>
        <v>66558.246311418581</v>
      </c>
      <c r="G160" s="6"/>
    </row>
    <row r="161" spans="1:7" x14ac:dyDescent="0.25">
      <c r="A161" s="2">
        <f t="shared" ca="1" si="14"/>
        <v>48122</v>
      </c>
      <c r="B161">
        <f t="shared" si="15"/>
        <v>152</v>
      </c>
      <c r="C161" s="6">
        <f t="shared" si="12"/>
        <v>2460.7562923616729</v>
      </c>
      <c r="D161" s="6">
        <f t="shared" si="13"/>
        <v>2147.3778826454104</v>
      </c>
      <c r="E161" s="6">
        <f t="shared" si="16"/>
        <v>313.37840971626247</v>
      </c>
      <c r="F161" s="6">
        <f t="shared" si="17"/>
        <v>64410.868428773174</v>
      </c>
      <c r="G161" s="6"/>
    </row>
    <row r="162" spans="1:7" x14ac:dyDescent="0.25">
      <c r="A162" s="2">
        <f t="shared" ca="1" si="14"/>
        <v>48153</v>
      </c>
      <c r="B162">
        <f t="shared" si="15"/>
        <v>153</v>
      </c>
      <c r="C162" s="6">
        <f t="shared" si="12"/>
        <v>2460.7562923616729</v>
      </c>
      <c r="D162" s="6">
        <f t="shared" si="13"/>
        <v>2157.4884535095325</v>
      </c>
      <c r="E162" s="6">
        <f t="shared" si="16"/>
        <v>303.26783885214036</v>
      </c>
      <c r="F162" s="6">
        <f t="shared" si="17"/>
        <v>62253.379975263641</v>
      </c>
      <c r="G162" s="6"/>
    </row>
    <row r="163" spans="1:7" x14ac:dyDescent="0.25">
      <c r="A163" s="2">
        <f t="shared" ca="1" si="14"/>
        <v>48183</v>
      </c>
      <c r="B163">
        <f t="shared" si="15"/>
        <v>154</v>
      </c>
      <c r="C163" s="6">
        <f t="shared" si="12"/>
        <v>2460.7562923616729</v>
      </c>
      <c r="D163" s="6">
        <f t="shared" si="13"/>
        <v>2167.6466283114733</v>
      </c>
      <c r="E163" s="6">
        <f t="shared" si="16"/>
        <v>293.10966405019963</v>
      </c>
      <c r="F163" s="6">
        <f t="shared" si="17"/>
        <v>60085.733346952169</v>
      </c>
      <c r="G163" s="6"/>
    </row>
    <row r="164" spans="1:7" x14ac:dyDescent="0.25">
      <c r="A164" s="2">
        <f t="shared" ca="1" si="14"/>
        <v>48214</v>
      </c>
      <c r="B164">
        <f t="shared" si="15"/>
        <v>155</v>
      </c>
      <c r="C164" s="6">
        <f t="shared" si="12"/>
        <v>2460.7562923616729</v>
      </c>
      <c r="D164" s="6">
        <f t="shared" si="13"/>
        <v>2177.8526311864398</v>
      </c>
      <c r="E164" s="6">
        <f t="shared" si="16"/>
        <v>282.90366117523314</v>
      </c>
      <c r="F164" s="6">
        <f t="shared" si="17"/>
        <v>57907.880715765728</v>
      </c>
      <c r="G164" s="6"/>
    </row>
    <row r="165" spans="1:7" x14ac:dyDescent="0.25">
      <c r="A165" s="2">
        <f t="shared" ca="1" si="14"/>
        <v>48245</v>
      </c>
      <c r="B165">
        <f t="shared" si="15"/>
        <v>156</v>
      </c>
      <c r="C165" s="6">
        <f t="shared" si="12"/>
        <v>2460.7562923616729</v>
      </c>
      <c r="D165" s="6">
        <f t="shared" si="13"/>
        <v>2188.1066873249424</v>
      </c>
      <c r="E165" s="6">
        <f t="shared" si="16"/>
        <v>272.64960503673029</v>
      </c>
      <c r="F165" s="6">
        <f t="shared" si="17"/>
        <v>55719.774028440785</v>
      </c>
      <c r="G165" s="6"/>
    </row>
    <row r="166" spans="1:7" x14ac:dyDescent="0.25">
      <c r="A166" s="2">
        <f t="shared" ca="1" si="14"/>
        <v>48274</v>
      </c>
      <c r="B166">
        <f t="shared" si="15"/>
        <v>157</v>
      </c>
      <c r="C166" s="6">
        <f t="shared" si="12"/>
        <v>2460.7562923616729</v>
      </c>
      <c r="D166" s="6">
        <f t="shared" si="13"/>
        <v>2198.4090229777639</v>
      </c>
      <c r="E166" s="6">
        <f t="shared" si="16"/>
        <v>262.34726938390872</v>
      </c>
      <c r="F166" s="6">
        <f t="shared" si="17"/>
        <v>53521.36500546302</v>
      </c>
      <c r="G166" s="6"/>
    </row>
    <row r="167" spans="1:7" x14ac:dyDescent="0.25">
      <c r="A167" s="2">
        <f t="shared" ca="1" si="14"/>
        <v>48305</v>
      </c>
      <c r="B167">
        <f t="shared" si="15"/>
        <v>158</v>
      </c>
      <c r="C167" s="6">
        <f t="shared" si="12"/>
        <v>2460.7562923616729</v>
      </c>
      <c r="D167" s="6">
        <f t="shared" si="13"/>
        <v>2208.759865460951</v>
      </c>
      <c r="E167" s="6">
        <f t="shared" si="16"/>
        <v>251.99642690072173</v>
      </c>
      <c r="F167" s="6">
        <f t="shared" si="17"/>
        <v>51312.605140002066</v>
      </c>
      <c r="G167" s="6"/>
    </row>
    <row r="168" spans="1:7" x14ac:dyDescent="0.25">
      <c r="A168" s="2">
        <f t="shared" ca="1" si="14"/>
        <v>48335</v>
      </c>
      <c r="B168">
        <f t="shared" si="15"/>
        <v>159</v>
      </c>
      <c r="C168" s="6">
        <f t="shared" si="12"/>
        <v>2460.7562923616729</v>
      </c>
      <c r="D168" s="6">
        <f t="shared" si="13"/>
        <v>2219.1594431608296</v>
      </c>
      <c r="E168" s="6">
        <f t="shared" si="16"/>
        <v>241.59684920084308</v>
      </c>
      <c r="F168" s="6">
        <f t="shared" si="17"/>
        <v>49093.445696841234</v>
      </c>
      <c r="G168" s="6"/>
    </row>
    <row r="169" spans="1:7" x14ac:dyDescent="0.25">
      <c r="A169" s="2">
        <f t="shared" ca="1" si="14"/>
        <v>48366</v>
      </c>
      <c r="B169">
        <f t="shared" si="15"/>
        <v>160</v>
      </c>
      <c r="C169" s="6">
        <f t="shared" si="12"/>
        <v>2460.7562923616729</v>
      </c>
      <c r="D169" s="6">
        <f t="shared" si="13"/>
        <v>2229.6079855390453</v>
      </c>
      <c r="E169" s="6">
        <f t="shared" si="16"/>
        <v>231.14830682262749</v>
      </c>
      <c r="F169" s="6">
        <f t="shared" si="17"/>
        <v>46863.837711302185</v>
      </c>
      <c r="G169" s="6"/>
    </row>
    <row r="170" spans="1:7" x14ac:dyDescent="0.25">
      <c r="A170" s="2">
        <f t="shared" ca="1" si="14"/>
        <v>48396</v>
      </c>
      <c r="B170">
        <f t="shared" si="15"/>
        <v>161</v>
      </c>
      <c r="C170" s="6">
        <f t="shared" si="12"/>
        <v>2460.7562923616729</v>
      </c>
      <c r="D170" s="6">
        <f t="shared" si="13"/>
        <v>2240.1057231376253</v>
      </c>
      <c r="E170" s="6">
        <f t="shared" si="16"/>
        <v>220.65056922404779</v>
      </c>
      <c r="F170" s="6">
        <f t="shared" si="17"/>
        <v>44623.73198816456</v>
      </c>
      <c r="G170" s="6"/>
    </row>
    <row r="171" spans="1:7" x14ac:dyDescent="0.25">
      <c r="A171" s="2">
        <f t="shared" ca="1" si="14"/>
        <v>48427</v>
      </c>
      <c r="B171">
        <f t="shared" si="15"/>
        <v>162</v>
      </c>
      <c r="C171" s="6">
        <f t="shared" si="12"/>
        <v>2460.7562923616729</v>
      </c>
      <c r="D171" s="6">
        <f t="shared" si="13"/>
        <v>2250.652887584065</v>
      </c>
      <c r="E171" s="6">
        <f t="shared" si="16"/>
        <v>210.10340477760815</v>
      </c>
      <c r="F171" s="6">
        <f t="shared" si="17"/>
        <v>42373.079100580493</v>
      </c>
      <c r="G171" s="6"/>
    </row>
    <row r="172" spans="1:7" x14ac:dyDescent="0.25">
      <c r="A172" s="2">
        <f t="shared" ca="1" si="14"/>
        <v>48458</v>
      </c>
      <c r="B172">
        <f t="shared" si="15"/>
        <v>163</v>
      </c>
      <c r="C172" s="6">
        <f t="shared" si="12"/>
        <v>2460.7562923616729</v>
      </c>
      <c r="D172" s="6">
        <f t="shared" si="13"/>
        <v>2261.2497115964397</v>
      </c>
      <c r="E172" s="6">
        <f t="shared" si="16"/>
        <v>199.50658076523317</v>
      </c>
      <c r="F172" s="6">
        <f t="shared" si="17"/>
        <v>40111.829388984057</v>
      </c>
      <c r="G172" s="6"/>
    </row>
    <row r="173" spans="1:7" x14ac:dyDescent="0.25">
      <c r="A173" s="2">
        <f t="shared" ca="1" si="14"/>
        <v>48488</v>
      </c>
      <c r="B173">
        <f t="shared" si="15"/>
        <v>164</v>
      </c>
      <c r="C173" s="6">
        <f t="shared" si="12"/>
        <v>2460.7562923616729</v>
      </c>
      <c r="D173" s="6">
        <f t="shared" si="13"/>
        <v>2271.8964289885398</v>
      </c>
      <c r="E173" s="6">
        <f t="shared" si="16"/>
        <v>188.85986337313327</v>
      </c>
      <c r="F173" s="6">
        <f t="shared" si="17"/>
        <v>37839.932959995516</v>
      </c>
      <c r="G173" s="6"/>
    </row>
    <row r="174" spans="1:7" x14ac:dyDescent="0.25">
      <c r="A174" s="2">
        <f t="shared" ca="1" si="14"/>
        <v>48519</v>
      </c>
      <c r="B174">
        <f t="shared" si="15"/>
        <v>165</v>
      </c>
      <c r="C174" s="6">
        <f t="shared" si="12"/>
        <v>2460.7562923616729</v>
      </c>
      <c r="D174" s="6">
        <f t="shared" si="13"/>
        <v>2282.5932746750273</v>
      </c>
      <c r="E174" s="6">
        <f t="shared" si="16"/>
        <v>178.16301768664556</v>
      </c>
      <c r="F174" s="6">
        <f t="shared" si="17"/>
        <v>35557.33968532049</v>
      </c>
      <c r="G174" s="6"/>
    </row>
    <row r="175" spans="1:7" x14ac:dyDescent="0.25">
      <c r="A175" s="2">
        <f t="shared" ca="1" si="14"/>
        <v>48549</v>
      </c>
      <c r="B175">
        <f t="shared" si="15"/>
        <v>166</v>
      </c>
      <c r="C175" s="6">
        <f t="shared" si="12"/>
        <v>2460.7562923616729</v>
      </c>
      <c r="D175" s="6">
        <f t="shared" si="13"/>
        <v>2293.3404846766221</v>
      </c>
      <c r="E175" s="6">
        <f t="shared" si="16"/>
        <v>167.41580768505065</v>
      </c>
      <c r="F175" s="6">
        <f t="shared" si="17"/>
        <v>33263.99920064387</v>
      </c>
      <c r="G175" s="6"/>
    </row>
    <row r="176" spans="1:7" x14ac:dyDescent="0.25">
      <c r="A176" s="2">
        <f t="shared" ca="1" si="14"/>
        <v>48580</v>
      </c>
      <c r="B176">
        <f t="shared" si="15"/>
        <v>167</v>
      </c>
      <c r="C176" s="6">
        <f t="shared" si="12"/>
        <v>2460.7562923616729</v>
      </c>
      <c r="D176" s="6">
        <f t="shared" si="13"/>
        <v>2304.138296125308</v>
      </c>
      <c r="E176" s="6">
        <f t="shared" si="16"/>
        <v>156.61799623636489</v>
      </c>
      <c r="F176" s="6">
        <f t="shared" si="17"/>
        <v>30959.860904518562</v>
      </c>
      <c r="G176" s="6"/>
    </row>
    <row r="177" spans="1:7" x14ac:dyDescent="0.25">
      <c r="A177" s="2">
        <f t="shared" ca="1" si="14"/>
        <v>48611</v>
      </c>
      <c r="B177">
        <f t="shared" si="15"/>
        <v>168</v>
      </c>
      <c r="C177" s="6">
        <f t="shared" si="12"/>
        <v>2460.7562923616729</v>
      </c>
      <c r="D177" s="6">
        <f t="shared" si="13"/>
        <v>2314.9869472695646</v>
      </c>
      <c r="E177" s="6">
        <f t="shared" si="16"/>
        <v>145.76934509210824</v>
      </c>
      <c r="F177" s="6">
        <f t="shared" si="17"/>
        <v>28644.873957248998</v>
      </c>
      <c r="G177" s="6"/>
    </row>
    <row r="178" spans="1:7" x14ac:dyDescent="0.25">
      <c r="A178" s="2">
        <f t="shared" ca="1" si="14"/>
        <v>48639</v>
      </c>
      <c r="B178">
        <f t="shared" si="15"/>
        <v>169</v>
      </c>
      <c r="C178" s="6">
        <f t="shared" si="12"/>
        <v>2460.7562923616729</v>
      </c>
      <c r="D178" s="6">
        <f t="shared" si="13"/>
        <v>2325.8866774796256</v>
      </c>
      <c r="E178" s="6">
        <f t="shared" si="16"/>
        <v>134.86961488204736</v>
      </c>
      <c r="F178" s="6">
        <f t="shared" si="17"/>
        <v>26318.987279769372</v>
      </c>
      <c r="G178" s="6"/>
    </row>
    <row r="179" spans="1:7" x14ac:dyDescent="0.25">
      <c r="A179" s="2">
        <f t="shared" ca="1" si="14"/>
        <v>48670</v>
      </c>
      <c r="B179">
        <f t="shared" si="15"/>
        <v>170</v>
      </c>
      <c r="C179" s="6">
        <f t="shared" si="12"/>
        <v>2460.7562923616729</v>
      </c>
      <c r="D179" s="6">
        <f t="shared" si="13"/>
        <v>2336.8377272527587</v>
      </c>
      <c r="E179" s="6">
        <f t="shared" si="16"/>
        <v>123.91856510891412</v>
      </c>
      <c r="F179" s="6">
        <f t="shared" si="17"/>
        <v>23982.149552516614</v>
      </c>
      <c r="G179" s="6"/>
    </row>
    <row r="180" spans="1:7" x14ac:dyDescent="0.25">
      <c r="A180" s="2">
        <f t="shared" ca="1" si="14"/>
        <v>48700</v>
      </c>
      <c r="B180">
        <f t="shared" si="15"/>
        <v>171</v>
      </c>
      <c r="C180" s="6">
        <f t="shared" si="12"/>
        <v>2460.7562923616729</v>
      </c>
      <c r="D180" s="6">
        <f t="shared" si="13"/>
        <v>2347.8403382185738</v>
      </c>
      <c r="E180" s="6">
        <f t="shared" si="16"/>
        <v>112.91595414309906</v>
      </c>
      <c r="F180" s="6">
        <f t="shared" si="17"/>
        <v>21634.309214298039</v>
      </c>
      <c r="G180" s="6"/>
    </row>
    <row r="181" spans="1:7" x14ac:dyDescent="0.25">
      <c r="A181" s="2">
        <f t="shared" ca="1" si="14"/>
        <v>48731</v>
      </c>
      <c r="B181">
        <f t="shared" si="15"/>
        <v>172</v>
      </c>
      <c r="C181" s="6">
        <f t="shared" si="12"/>
        <v>2460.7562923616729</v>
      </c>
      <c r="D181" s="6">
        <f t="shared" si="13"/>
        <v>2358.8947531443528</v>
      </c>
      <c r="E181" s="6">
        <f t="shared" si="16"/>
        <v>101.86153921731993</v>
      </c>
      <c r="F181" s="6">
        <f t="shared" si="17"/>
        <v>19275.414461153687</v>
      </c>
      <c r="G181" s="6"/>
    </row>
    <row r="182" spans="1:7" x14ac:dyDescent="0.25">
      <c r="A182" s="2">
        <f t="shared" ca="1" si="14"/>
        <v>48761</v>
      </c>
      <c r="B182">
        <f t="shared" si="15"/>
        <v>173</v>
      </c>
      <c r="C182" s="6">
        <f t="shared" si="12"/>
        <v>2460.7562923616729</v>
      </c>
      <c r="D182" s="6">
        <f t="shared" si="13"/>
        <v>2370.0012159404077</v>
      </c>
      <c r="E182" s="6">
        <f t="shared" si="16"/>
        <v>90.755076421265272</v>
      </c>
      <c r="F182" s="6">
        <f t="shared" si="17"/>
        <v>16905.41324521328</v>
      </c>
      <c r="G182" s="6"/>
    </row>
    <row r="183" spans="1:7" x14ac:dyDescent="0.25">
      <c r="A183" s="2">
        <f t="shared" ca="1" si="14"/>
        <v>48792</v>
      </c>
      <c r="B183">
        <f t="shared" si="15"/>
        <v>174</v>
      </c>
      <c r="C183" s="6">
        <f t="shared" si="12"/>
        <v>2460.7562923616729</v>
      </c>
      <c r="D183" s="6">
        <f t="shared" si="13"/>
        <v>2381.1599716654605</v>
      </c>
      <c r="E183" s="6">
        <f t="shared" si="16"/>
        <v>79.59632069621253</v>
      </c>
      <c r="F183" s="6">
        <f t="shared" si="17"/>
        <v>14524.25327354782</v>
      </c>
      <c r="G183" s="6"/>
    </row>
    <row r="184" spans="1:7" x14ac:dyDescent="0.25">
      <c r="A184" s="2">
        <f t="shared" ca="1" si="14"/>
        <v>48823</v>
      </c>
      <c r="B184">
        <f t="shared" si="15"/>
        <v>175</v>
      </c>
      <c r="C184" s="6">
        <f t="shared" si="12"/>
        <v>2460.7562923616729</v>
      </c>
      <c r="D184" s="6">
        <f t="shared" si="13"/>
        <v>2392.3712665320518</v>
      </c>
      <c r="E184" s="6">
        <f t="shared" si="16"/>
        <v>68.385025829620986</v>
      </c>
      <c r="F184" s="6">
        <f t="shared" si="17"/>
        <v>12131.882007015767</v>
      </c>
      <c r="G184" s="6"/>
    </row>
    <row r="185" spans="1:7" x14ac:dyDescent="0.25">
      <c r="A185" s="2">
        <f t="shared" ca="1" si="14"/>
        <v>48853</v>
      </c>
      <c r="B185">
        <f t="shared" si="15"/>
        <v>176</v>
      </c>
      <c r="C185" s="6">
        <f t="shared" si="12"/>
        <v>2460.7562923616729</v>
      </c>
      <c r="D185" s="6">
        <f t="shared" si="13"/>
        <v>2403.6353479119734</v>
      </c>
      <c r="E185" s="6">
        <f t="shared" si="16"/>
        <v>57.120944449699238</v>
      </c>
      <c r="F185" s="6">
        <f t="shared" si="17"/>
        <v>9728.2466591037937</v>
      </c>
      <c r="G185" s="6"/>
    </row>
    <row r="186" spans="1:7" x14ac:dyDescent="0.25">
      <c r="A186" s="2">
        <f t="shared" ca="1" si="14"/>
        <v>48884</v>
      </c>
      <c r="B186">
        <f t="shared" si="15"/>
        <v>177</v>
      </c>
      <c r="C186" s="6">
        <f t="shared" si="12"/>
        <v>2460.7562923616729</v>
      </c>
      <c r="D186" s="6">
        <f t="shared" si="13"/>
        <v>2414.9524643417258</v>
      </c>
      <c r="E186" s="6">
        <f t="shared" si="16"/>
        <v>45.803828019947034</v>
      </c>
      <c r="F186" s="6">
        <f t="shared" si="17"/>
        <v>7313.2941947620675</v>
      </c>
      <c r="G186" s="6"/>
    </row>
    <row r="187" spans="1:7" x14ac:dyDescent="0.25">
      <c r="A187" s="2">
        <f t="shared" ca="1" si="14"/>
        <v>48914</v>
      </c>
      <c r="B187">
        <f t="shared" si="15"/>
        <v>178</v>
      </c>
      <c r="C187" s="6">
        <f t="shared" si="12"/>
        <v>2460.7562923616729</v>
      </c>
      <c r="D187" s="6">
        <f t="shared" si="13"/>
        <v>2426.3228655280013</v>
      </c>
      <c r="E187" s="6">
        <f t="shared" si="16"/>
        <v>34.433426833671405</v>
      </c>
      <c r="F187" s="6">
        <f t="shared" si="17"/>
        <v>4886.9713292340657</v>
      </c>
      <c r="G187" s="6"/>
    </row>
    <row r="188" spans="1:7" x14ac:dyDescent="0.25">
      <c r="A188" s="2">
        <f t="shared" ca="1" si="14"/>
        <v>48945</v>
      </c>
      <c r="B188">
        <f t="shared" si="15"/>
        <v>179</v>
      </c>
      <c r="C188" s="6">
        <f t="shared" si="12"/>
        <v>2460.7562923616729</v>
      </c>
      <c r="D188" s="6">
        <f t="shared" si="13"/>
        <v>2437.746802353196</v>
      </c>
      <c r="E188" s="6">
        <f t="shared" si="16"/>
        <v>23.009490008477059</v>
      </c>
      <c r="F188" s="6">
        <f t="shared" si="17"/>
        <v>2449.2245268808697</v>
      </c>
      <c r="G188" s="6"/>
    </row>
    <row r="189" spans="1:7" x14ac:dyDescent="0.25">
      <c r="A189" s="2">
        <f t="shared" ca="1" si="14"/>
        <v>48976</v>
      </c>
      <c r="B189">
        <f t="shared" si="15"/>
        <v>180</v>
      </c>
      <c r="C189" s="6">
        <f t="shared" si="12"/>
        <v>2460.7562923616729</v>
      </c>
      <c r="D189" s="6">
        <f t="shared" si="13"/>
        <v>2449.224526880942</v>
      </c>
      <c r="E189" s="6">
        <f t="shared" si="16"/>
        <v>11.531765480730762</v>
      </c>
      <c r="F189" s="6">
        <f t="shared" si="17"/>
        <v>-7.2304828790947795E-11</v>
      </c>
      <c r="G189" s="6"/>
    </row>
    <row r="190" spans="1:7" x14ac:dyDescent="0.25">
      <c r="A190" s="2">
        <f t="shared" ca="1" si="14"/>
        <v>49004</v>
      </c>
      <c r="B190">
        <f t="shared" si="15"/>
        <v>181</v>
      </c>
      <c r="C190" s="6">
        <f t="shared" si="12"/>
        <v>2460.7562923616729</v>
      </c>
      <c r="D190" s="6">
        <f t="shared" si="13"/>
        <v>2460.7562923616733</v>
      </c>
      <c r="E190" s="6">
        <f t="shared" si="16"/>
        <v>-3.4043523555737919E-13</v>
      </c>
      <c r="F190" s="6">
        <f t="shared" si="17"/>
        <v>-2460.7562923617456</v>
      </c>
      <c r="G190" s="6"/>
    </row>
    <row r="191" spans="1:7" x14ac:dyDescent="0.25">
      <c r="A191" s="2">
        <f t="shared" ca="1" si="14"/>
        <v>49035</v>
      </c>
      <c r="B191">
        <f t="shared" si="15"/>
        <v>182</v>
      </c>
      <c r="C191" s="6">
        <f t="shared" si="12"/>
        <v>2460.7562923616729</v>
      </c>
      <c r="D191" s="6">
        <f t="shared" si="13"/>
        <v>2472.3423532382094</v>
      </c>
      <c r="E191" s="6">
        <f t="shared" si="16"/>
        <v>-11.586060876536553</v>
      </c>
      <c r="F191" s="6">
        <f t="shared" si="17"/>
        <v>-4933.0986455999555</v>
      </c>
      <c r="G191" s="6"/>
    </row>
    <row r="192" spans="1:7" x14ac:dyDescent="0.25">
      <c r="A192" s="2">
        <f t="shared" ca="1" si="14"/>
        <v>49065</v>
      </c>
      <c r="B192">
        <f t="shared" si="15"/>
        <v>183</v>
      </c>
      <c r="C192" s="6">
        <f t="shared" si="12"/>
        <v>2460.7562923616729</v>
      </c>
      <c r="D192" s="6">
        <f t="shared" si="13"/>
        <v>2483.9829651513728</v>
      </c>
      <c r="E192" s="6">
        <f t="shared" si="16"/>
        <v>-23.226672789699791</v>
      </c>
      <c r="F192" s="6">
        <f t="shared" si="17"/>
        <v>-7417.0816107513283</v>
      </c>
      <c r="G192" s="6"/>
    </row>
    <row r="193" spans="1:7" x14ac:dyDescent="0.25">
      <c r="A193" s="2">
        <f t="shared" ca="1" si="14"/>
        <v>49096</v>
      </c>
      <c r="B193">
        <f t="shared" si="15"/>
        <v>184</v>
      </c>
      <c r="C193" s="6">
        <f t="shared" si="12"/>
        <v>2460.7562923616729</v>
      </c>
      <c r="D193" s="6">
        <f t="shared" si="13"/>
        <v>2495.6783849456269</v>
      </c>
      <c r="E193" s="6">
        <f t="shared" si="16"/>
        <v>-34.922092583954175</v>
      </c>
      <c r="F193" s="6">
        <f t="shared" si="17"/>
        <v>-9912.7599956969552</v>
      </c>
      <c r="G193" s="6"/>
    </row>
    <row r="194" spans="1:7" x14ac:dyDescent="0.25">
      <c r="A194" s="2">
        <f t="shared" ca="1" si="14"/>
        <v>49126</v>
      </c>
      <c r="B194">
        <f t="shared" si="15"/>
        <v>185</v>
      </c>
      <c r="C194" s="6">
        <f t="shared" si="12"/>
        <v>2460.7562923616729</v>
      </c>
      <c r="D194" s="6">
        <f t="shared" si="13"/>
        <v>2507.4288706747461</v>
      </c>
      <c r="E194" s="6">
        <f t="shared" si="16"/>
        <v>-46.672578313073167</v>
      </c>
      <c r="F194" s="6">
        <f t="shared" si="17"/>
        <v>-12420.188866371702</v>
      </c>
      <c r="G194" s="6"/>
    </row>
    <row r="195" spans="1:7" x14ac:dyDescent="0.25">
      <c r="A195" s="2">
        <f t="shared" ca="1" si="14"/>
        <v>49157</v>
      </c>
      <c r="B195">
        <f t="shared" si="15"/>
        <v>186</v>
      </c>
      <c r="C195" s="6">
        <f t="shared" si="12"/>
        <v>2460.7562923616729</v>
      </c>
      <c r="D195" s="6">
        <f t="shared" si="13"/>
        <v>2519.2346816075064</v>
      </c>
      <c r="E195" s="6">
        <f t="shared" si="16"/>
        <v>-58.478389245833434</v>
      </c>
      <c r="F195" s="6">
        <f t="shared" si="17"/>
        <v>-14939.423547979208</v>
      </c>
      <c r="G195" s="6"/>
    </row>
    <row r="196" spans="1:7" x14ac:dyDescent="0.25">
      <c r="A196" s="2">
        <f t="shared" ca="1" si="14"/>
        <v>49188</v>
      </c>
      <c r="B196">
        <f t="shared" si="15"/>
        <v>187</v>
      </c>
      <c r="C196" s="6">
        <f t="shared" si="12"/>
        <v>2460.7562923616729</v>
      </c>
      <c r="D196" s="6">
        <f t="shared" si="13"/>
        <v>2531.0960782334082</v>
      </c>
      <c r="E196" s="6">
        <f t="shared" si="16"/>
        <v>-70.339785871735444</v>
      </c>
      <c r="F196" s="6">
        <f t="shared" si="17"/>
        <v>-17470.519626212616</v>
      </c>
      <c r="G196" s="6"/>
    </row>
    <row r="197" spans="1:7" x14ac:dyDescent="0.25">
      <c r="A197" s="2">
        <f t="shared" ca="1" si="14"/>
        <v>49218</v>
      </c>
      <c r="B197">
        <f t="shared" si="15"/>
        <v>188</v>
      </c>
      <c r="C197" s="6">
        <f t="shared" si="12"/>
        <v>2460.7562923616729</v>
      </c>
      <c r="D197" s="6">
        <f t="shared" si="13"/>
        <v>2543.013322268424</v>
      </c>
      <c r="E197" s="6">
        <f t="shared" si="16"/>
        <v>-82.257029906751072</v>
      </c>
      <c r="F197" s="6">
        <f t="shared" si="17"/>
        <v>-20013.532948481039</v>
      </c>
      <c r="G197" s="6"/>
    </row>
    <row r="198" spans="1:7" x14ac:dyDescent="0.25">
      <c r="A198" s="2">
        <f t="shared" ca="1" si="14"/>
        <v>49249</v>
      </c>
      <c r="B198">
        <f t="shared" si="15"/>
        <v>189</v>
      </c>
      <c r="C198" s="6">
        <f t="shared" si="12"/>
        <v>2460.7562923616729</v>
      </c>
      <c r="D198" s="6">
        <f t="shared" si="13"/>
        <v>2554.9866766607711</v>
      </c>
      <c r="E198" s="6">
        <f t="shared" si="16"/>
        <v>-94.230384299098233</v>
      </c>
      <c r="F198" s="6">
        <f t="shared" si="17"/>
        <v>-22568.519625141809</v>
      </c>
      <c r="G198" s="6"/>
    </row>
    <row r="199" spans="1:7" x14ac:dyDescent="0.25">
      <c r="A199" s="2">
        <f t="shared" ca="1" si="14"/>
        <v>49279</v>
      </c>
      <c r="B199">
        <f t="shared" si="15"/>
        <v>190</v>
      </c>
      <c r="C199" s="6">
        <f t="shared" si="12"/>
        <v>2460.7562923616729</v>
      </c>
      <c r="D199" s="6">
        <f t="shared" si="13"/>
        <v>2567.0164055967157</v>
      </c>
      <c r="E199" s="6">
        <f t="shared" si="16"/>
        <v>-106.2601132350427</v>
      </c>
      <c r="F199" s="6">
        <f t="shared" si="17"/>
        <v>-25135.536030738524</v>
      </c>
      <c r="G199" s="6"/>
    </row>
    <row r="200" spans="1:7" x14ac:dyDescent="0.25">
      <c r="A200" s="2">
        <f t="shared" ca="1" si="14"/>
        <v>49310</v>
      </c>
      <c r="B200">
        <f t="shared" si="15"/>
        <v>191</v>
      </c>
      <c r="C200" s="6">
        <f t="shared" si="12"/>
        <v>2460.7562923616729</v>
      </c>
      <c r="D200" s="6">
        <f t="shared" si="13"/>
        <v>2579.1027745064002</v>
      </c>
      <c r="E200" s="6">
        <f t="shared" si="16"/>
        <v>-118.34648214472722</v>
      </c>
      <c r="F200" s="6">
        <f t="shared" si="17"/>
        <v>-27714.638805244926</v>
      </c>
      <c r="G200" s="6"/>
    </row>
    <row r="201" spans="1:7" x14ac:dyDescent="0.25">
      <c r="A201" s="2">
        <f t="shared" ca="1" si="14"/>
        <v>49341</v>
      </c>
      <c r="B201">
        <f t="shared" si="15"/>
        <v>192</v>
      </c>
      <c r="C201" s="6">
        <f t="shared" si="12"/>
        <v>2460.7562923616729</v>
      </c>
      <c r="D201" s="6">
        <f t="shared" si="13"/>
        <v>2591.2460500697011</v>
      </c>
      <c r="E201" s="6">
        <f t="shared" si="16"/>
        <v>-130.48975770802821</v>
      </c>
      <c r="F201" s="6">
        <f t="shared" si="17"/>
        <v>-30305.884855314627</v>
      </c>
      <c r="G201" s="6"/>
    </row>
    <row r="202" spans="1:7" x14ac:dyDescent="0.25">
      <c r="A202" s="2">
        <f t="shared" ca="1" si="14"/>
        <v>49369</v>
      </c>
      <c r="B202">
        <f t="shared" si="15"/>
        <v>193</v>
      </c>
      <c r="C202" s="6">
        <f t="shared" si="12"/>
        <v>2460.7562923616729</v>
      </c>
      <c r="D202" s="6">
        <f t="shared" si="13"/>
        <v>2603.4465002221127</v>
      </c>
      <c r="E202" s="6">
        <f t="shared" si="16"/>
        <v>-142.6902078604397</v>
      </c>
      <c r="F202" s="6">
        <f t="shared" si="17"/>
        <v>-32909.331355536742</v>
      </c>
      <c r="G202" s="6"/>
    </row>
    <row r="203" spans="1:7" x14ac:dyDescent="0.25">
      <c r="A203" s="2">
        <f t="shared" ca="1" si="14"/>
        <v>49400</v>
      </c>
      <c r="B203">
        <f t="shared" si="15"/>
        <v>194</v>
      </c>
      <c r="C203" s="6">
        <f t="shared" ref="C203:C266" si="18">-PMT($C$4/12,$C$5,$C$3,0)</f>
        <v>2460.7562923616729</v>
      </c>
      <c r="D203" s="6">
        <f t="shared" ref="D203:D266" si="19">C203-E203</f>
        <v>2615.7043941606585</v>
      </c>
      <c r="E203" s="6">
        <f t="shared" si="16"/>
        <v>-154.9481017989855</v>
      </c>
      <c r="F203" s="6">
        <f t="shared" si="17"/>
        <v>-35525.035749697403</v>
      </c>
      <c r="G203" s="6"/>
    </row>
    <row r="204" spans="1:7" x14ac:dyDescent="0.25">
      <c r="A204" s="2">
        <f t="shared" ref="A204:A267" ca="1" si="20">DATE(YEAR(A203),MONTH(A203)+1,1)</f>
        <v>49430</v>
      </c>
      <c r="B204">
        <f t="shared" ref="B204:B267" si="21">B203+1</f>
        <v>195</v>
      </c>
      <c r="C204" s="6">
        <f t="shared" si="18"/>
        <v>2460.7562923616729</v>
      </c>
      <c r="D204" s="6">
        <f t="shared" si="19"/>
        <v>2628.0200023498314</v>
      </c>
      <c r="E204" s="6">
        <f t="shared" ref="E204:E267" si="22">($C$4/12)*F203</f>
        <v>-167.26370998815861</v>
      </c>
      <c r="F204" s="6">
        <f t="shared" si="17"/>
        <v>-38153.055752047236</v>
      </c>
      <c r="G204" s="6"/>
    </row>
    <row r="205" spans="1:7" x14ac:dyDescent="0.25">
      <c r="A205" s="2">
        <f t="shared" ca="1" si="20"/>
        <v>49461</v>
      </c>
      <c r="B205">
        <f t="shared" si="21"/>
        <v>196</v>
      </c>
      <c r="C205" s="6">
        <f t="shared" si="18"/>
        <v>2460.7562923616729</v>
      </c>
      <c r="D205" s="6">
        <f t="shared" si="19"/>
        <v>2640.3935965275618</v>
      </c>
      <c r="E205" s="6">
        <f t="shared" si="22"/>
        <v>-179.63730416588908</v>
      </c>
      <c r="F205" s="6">
        <f t="shared" si="17"/>
        <v>-40793.449348574795</v>
      </c>
      <c r="G205" s="6"/>
    </row>
    <row r="206" spans="1:7" x14ac:dyDescent="0.25">
      <c r="A206" s="2">
        <f t="shared" ca="1" si="20"/>
        <v>49491</v>
      </c>
      <c r="B206">
        <f t="shared" si="21"/>
        <v>197</v>
      </c>
      <c r="C206" s="6">
        <f t="shared" si="18"/>
        <v>2460.7562923616729</v>
      </c>
      <c r="D206" s="6">
        <f t="shared" si="19"/>
        <v>2652.8254497112125</v>
      </c>
      <c r="E206" s="6">
        <f t="shared" si="22"/>
        <v>-192.06915734953967</v>
      </c>
      <c r="F206" s="6">
        <f t="shared" ref="F206:F269" si="23">F205-D206</f>
        <v>-43446.274798286009</v>
      </c>
      <c r="G206" s="6"/>
    </row>
    <row r="207" spans="1:7" x14ac:dyDescent="0.25">
      <c r="A207" s="2">
        <f t="shared" ca="1" si="20"/>
        <v>49522</v>
      </c>
      <c r="B207">
        <f t="shared" si="21"/>
        <v>198</v>
      </c>
      <c r="C207" s="6">
        <f t="shared" si="18"/>
        <v>2460.7562923616729</v>
      </c>
      <c r="D207" s="6">
        <f t="shared" si="19"/>
        <v>2665.3158362036029</v>
      </c>
      <c r="E207" s="6">
        <f t="shared" si="22"/>
        <v>-204.55954384192998</v>
      </c>
      <c r="F207" s="6">
        <f t="shared" si="23"/>
        <v>-46111.590634489614</v>
      </c>
      <c r="G207" s="6"/>
    </row>
    <row r="208" spans="1:7" x14ac:dyDescent="0.25">
      <c r="A208" s="2">
        <f t="shared" ca="1" si="20"/>
        <v>49553</v>
      </c>
      <c r="B208">
        <f t="shared" si="21"/>
        <v>199</v>
      </c>
      <c r="C208" s="6">
        <f t="shared" si="18"/>
        <v>2460.7562923616729</v>
      </c>
      <c r="D208" s="6">
        <f t="shared" si="19"/>
        <v>2677.8650315990617</v>
      </c>
      <c r="E208" s="6">
        <f t="shared" si="22"/>
        <v>-217.10873923738862</v>
      </c>
      <c r="F208" s="6">
        <f t="shared" si="23"/>
        <v>-48789.455666088674</v>
      </c>
      <c r="G208" s="6"/>
    </row>
    <row r="209" spans="1:7" x14ac:dyDescent="0.25">
      <c r="A209" s="2">
        <f t="shared" ca="1" si="20"/>
        <v>49583</v>
      </c>
      <c r="B209">
        <f t="shared" si="21"/>
        <v>200</v>
      </c>
      <c r="C209" s="6">
        <f t="shared" si="18"/>
        <v>2460.7562923616729</v>
      </c>
      <c r="D209" s="6">
        <f t="shared" si="19"/>
        <v>2690.473312789507</v>
      </c>
      <c r="E209" s="6">
        <f t="shared" si="22"/>
        <v>-229.71702042783417</v>
      </c>
      <c r="F209" s="6">
        <f t="shared" si="23"/>
        <v>-51479.928978878183</v>
      </c>
      <c r="G209" s="6"/>
    </row>
    <row r="210" spans="1:7" x14ac:dyDescent="0.25">
      <c r="A210" s="2">
        <f t="shared" ca="1" si="20"/>
        <v>49614</v>
      </c>
      <c r="B210">
        <f t="shared" si="21"/>
        <v>201</v>
      </c>
      <c r="C210" s="6">
        <f t="shared" si="18"/>
        <v>2460.7562923616729</v>
      </c>
      <c r="D210" s="6">
        <f t="shared" si="19"/>
        <v>2703.1409579705578</v>
      </c>
      <c r="E210" s="6">
        <f t="shared" si="22"/>
        <v>-242.38466560888477</v>
      </c>
      <c r="F210" s="6">
        <f t="shared" si="23"/>
        <v>-54183.06993684874</v>
      </c>
      <c r="G210" s="6"/>
    </row>
    <row r="211" spans="1:7" x14ac:dyDescent="0.25">
      <c r="A211" s="2">
        <f t="shared" ca="1" si="20"/>
        <v>49644</v>
      </c>
      <c r="B211">
        <f t="shared" si="21"/>
        <v>202</v>
      </c>
      <c r="C211" s="6">
        <f t="shared" si="18"/>
        <v>2460.7562923616729</v>
      </c>
      <c r="D211" s="6">
        <f t="shared" si="19"/>
        <v>2715.8682466476689</v>
      </c>
      <c r="E211" s="6">
        <f t="shared" si="22"/>
        <v>-255.11195428599615</v>
      </c>
      <c r="F211" s="6">
        <f t="shared" si="23"/>
        <v>-56898.938183496408</v>
      </c>
      <c r="G211" s="6"/>
    </row>
    <row r="212" spans="1:7" x14ac:dyDescent="0.25">
      <c r="A212" s="2">
        <f t="shared" ca="1" si="20"/>
        <v>49675</v>
      </c>
      <c r="B212">
        <f t="shared" si="21"/>
        <v>203</v>
      </c>
      <c r="C212" s="6">
        <f t="shared" si="18"/>
        <v>2460.7562923616729</v>
      </c>
      <c r="D212" s="6">
        <f t="shared" si="19"/>
        <v>2728.655459642302</v>
      </c>
      <c r="E212" s="6">
        <f t="shared" si="22"/>
        <v>-267.89916728062894</v>
      </c>
      <c r="F212" s="6">
        <f t="shared" si="23"/>
        <v>-59627.593643138709</v>
      </c>
      <c r="G212" s="6"/>
    </row>
    <row r="213" spans="1:7" x14ac:dyDescent="0.25">
      <c r="A213" s="2">
        <f t="shared" ca="1" si="20"/>
        <v>49706</v>
      </c>
      <c r="B213">
        <f t="shared" si="21"/>
        <v>204</v>
      </c>
      <c r="C213" s="6">
        <f t="shared" si="18"/>
        <v>2460.7562923616729</v>
      </c>
      <c r="D213" s="6">
        <f t="shared" si="19"/>
        <v>2741.5028790981178</v>
      </c>
      <c r="E213" s="6">
        <f t="shared" si="22"/>
        <v>-280.74658673644478</v>
      </c>
      <c r="F213" s="6">
        <f t="shared" si="23"/>
        <v>-62369.096522236825</v>
      </c>
      <c r="G213" s="6"/>
    </row>
    <row r="214" spans="1:7" x14ac:dyDescent="0.25">
      <c r="A214" s="2">
        <f t="shared" ca="1" si="20"/>
        <v>49735</v>
      </c>
      <c r="B214">
        <f t="shared" si="21"/>
        <v>205</v>
      </c>
      <c r="C214" s="6">
        <f t="shared" si="18"/>
        <v>2460.7562923616729</v>
      </c>
      <c r="D214" s="6">
        <f t="shared" si="19"/>
        <v>2754.4107884872046</v>
      </c>
      <c r="E214" s="6">
        <f t="shared" si="22"/>
        <v>-293.65449612553175</v>
      </c>
      <c r="F214" s="6">
        <f t="shared" si="23"/>
        <v>-65123.507310724031</v>
      </c>
      <c r="G214" s="6"/>
    </row>
    <row r="215" spans="1:7" x14ac:dyDescent="0.25">
      <c r="A215" s="2">
        <f t="shared" ca="1" si="20"/>
        <v>49766</v>
      </c>
      <c r="B215">
        <f t="shared" si="21"/>
        <v>206</v>
      </c>
      <c r="C215" s="6">
        <f t="shared" si="18"/>
        <v>2460.7562923616729</v>
      </c>
      <c r="D215" s="6">
        <f t="shared" si="19"/>
        <v>2767.3794726163319</v>
      </c>
      <c r="E215" s="6">
        <f t="shared" si="22"/>
        <v>-306.62318025465896</v>
      </c>
      <c r="F215" s="6">
        <f t="shared" si="23"/>
        <v>-67890.886783340364</v>
      </c>
      <c r="G215" s="6"/>
    </row>
    <row r="216" spans="1:7" x14ac:dyDescent="0.25">
      <c r="A216" s="2">
        <f t="shared" ca="1" si="20"/>
        <v>49796</v>
      </c>
      <c r="B216">
        <f t="shared" si="21"/>
        <v>207</v>
      </c>
      <c r="C216" s="6">
        <f t="shared" si="18"/>
        <v>2460.7562923616729</v>
      </c>
      <c r="D216" s="6">
        <f t="shared" si="19"/>
        <v>2780.4092176332338</v>
      </c>
      <c r="E216" s="6">
        <f t="shared" si="22"/>
        <v>-319.65292527156089</v>
      </c>
      <c r="F216" s="6">
        <f t="shared" si="23"/>
        <v>-70671.296000973598</v>
      </c>
      <c r="G216" s="6"/>
    </row>
    <row r="217" spans="1:7" x14ac:dyDescent="0.25">
      <c r="A217" s="2">
        <f t="shared" ca="1" si="20"/>
        <v>49827</v>
      </c>
      <c r="B217">
        <f t="shared" si="21"/>
        <v>208</v>
      </c>
      <c r="C217" s="6">
        <f t="shared" si="18"/>
        <v>2460.7562923616729</v>
      </c>
      <c r="D217" s="6">
        <f t="shared" si="19"/>
        <v>2793.5003110329235</v>
      </c>
      <c r="E217" s="6">
        <f t="shared" si="22"/>
        <v>-332.74401867125073</v>
      </c>
      <c r="F217" s="6">
        <f t="shared" si="23"/>
        <v>-73464.796312006525</v>
      </c>
      <c r="G217" s="6"/>
    </row>
    <row r="218" spans="1:7" x14ac:dyDescent="0.25">
      <c r="A218" s="2">
        <f t="shared" ca="1" si="20"/>
        <v>49857</v>
      </c>
      <c r="B218">
        <f t="shared" si="21"/>
        <v>209</v>
      </c>
      <c r="C218" s="6">
        <f t="shared" si="18"/>
        <v>2460.7562923616729</v>
      </c>
      <c r="D218" s="6">
        <f t="shared" si="19"/>
        <v>2806.6530416640371</v>
      </c>
      <c r="E218" s="6">
        <f t="shared" si="22"/>
        <v>-345.89674930236407</v>
      </c>
      <c r="F218" s="6">
        <f t="shared" si="23"/>
        <v>-76271.449353670556</v>
      </c>
      <c r="G218" s="6"/>
    </row>
    <row r="219" spans="1:7" x14ac:dyDescent="0.25">
      <c r="A219" s="2">
        <f t="shared" ca="1" si="20"/>
        <v>49888</v>
      </c>
      <c r="B219">
        <f t="shared" si="21"/>
        <v>210</v>
      </c>
      <c r="C219" s="6">
        <f t="shared" si="18"/>
        <v>2460.7562923616729</v>
      </c>
      <c r="D219" s="6">
        <f t="shared" si="19"/>
        <v>2819.867699735205</v>
      </c>
      <c r="E219" s="6">
        <f t="shared" si="22"/>
        <v>-359.11140737353219</v>
      </c>
      <c r="F219" s="6">
        <f t="shared" si="23"/>
        <v>-79091.317053405757</v>
      </c>
      <c r="G219" s="6"/>
    </row>
    <row r="220" spans="1:7" x14ac:dyDescent="0.25">
      <c r="A220" s="2">
        <f t="shared" ca="1" si="20"/>
        <v>49919</v>
      </c>
      <c r="B220">
        <f t="shared" si="21"/>
        <v>211</v>
      </c>
      <c r="C220" s="6">
        <f t="shared" si="18"/>
        <v>2460.7562923616729</v>
      </c>
      <c r="D220" s="6">
        <f t="shared" si="19"/>
        <v>2833.1445768214585</v>
      </c>
      <c r="E220" s="6">
        <f t="shared" si="22"/>
        <v>-372.38828445978544</v>
      </c>
      <c r="F220" s="6">
        <f t="shared" si="23"/>
        <v>-81924.461630227219</v>
      </c>
      <c r="G220" s="6"/>
    </row>
    <row r="221" spans="1:7" x14ac:dyDescent="0.25">
      <c r="A221" s="2">
        <f t="shared" ca="1" si="20"/>
        <v>49949</v>
      </c>
      <c r="B221">
        <f t="shared" si="21"/>
        <v>212</v>
      </c>
      <c r="C221" s="6">
        <f t="shared" si="18"/>
        <v>2460.7562923616729</v>
      </c>
      <c r="D221" s="6">
        <f t="shared" si="19"/>
        <v>2846.4839658706596</v>
      </c>
      <c r="E221" s="6">
        <f t="shared" si="22"/>
        <v>-385.72767350898653</v>
      </c>
      <c r="F221" s="6">
        <f t="shared" si="23"/>
        <v>-84770.945596097881</v>
      </c>
      <c r="G221" s="6"/>
    </row>
    <row r="222" spans="1:7" x14ac:dyDescent="0.25">
      <c r="A222" s="2">
        <f t="shared" ca="1" si="20"/>
        <v>49980</v>
      </c>
      <c r="B222">
        <f t="shared" si="21"/>
        <v>213</v>
      </c>
      <c r="C222" s="6">
        <f t="shared" si="18"/>
        <v>2460.7562923616729</v>
      </c>
      <c r="D222" s="6">
        <f t="shared" si="19"/>
        <v>2859.8861612099672</v>
      </c>
      <c r="E222" s="6">
        <f t="shared" si="22"/>
        <v>-399.12986884829422</v>
      </c>
      <c r="F222" s="6">
        <f t="shared" si="23"/>
        <v>-87630.831757307853</v>
      </c>
      <c r="G222" s="6"/>
    </row>
    <row r="223" spans="1:7" x14ac:dyDescent="0.25">
      <c r="A223" s="2">
        <f t="shared" ca="1" si="20"/>
        <v>50010</v>
      </c>
      <c r="B223">
        <f t="shared" si="21"/>
        <v>214</v>
      </c>
      <c r="C223" s="6">
        <f t="shared" si="18"/>
        <v>2460.7562923616729</v>
      </c>
      <c r="D223" s="6">
        <f t="shared" si="19"/>
        <v>2873.3514585523308</v>
      </c>
      <c r="E223" s="6">
        <f t="shared" si="22"/>
        <v>-412.59516619065784</v>
      </c>
      <c r="F223" s="6">
        <f t="shared" si="23"/>
        <v>-90504.18321586019</v>
      </c>
      <c r="G223" s="6"/>
    </row>
    <row r="224" spans="1:7" x14ac:dyDescent="0.25">
      <c r="A224" s="2">
        <f t="shared" ca="1" si="20"/>
        <v>50041</v>
      </c>
      <c r="B224">
        <f t="shared" si="21"/>
        <v>215</v>
      </c>
      <c r="C224" s="6">
        <f t="shared" si="18"/>
        <v>2460.7562923616729</v>
      </c>
      <c r="D224" s="6">
        <f t="shared" si="19"/>
        <v>2886.8801550030148</v>
      </c>
      <c r="E224" s="6">
        <f t="shared" si="22"/>
        <v>-426.12386264134176</v>
      </c>
      <c r="F224" s="6">
        <f t="shared" si="23"/>
        <v>-93391.063370863209</v>
      </c>
      <c r="G224" s="6"/>
    </row>
    <row r="225" spans="1:7" x14ac:dyDescent="0.25">
      <c r="A225" s="2">
        <f t="shared" ca="1" si="20"/>
        <v>50072</v>
      </c>
      <c r="B225">
        <f t="shared" si="21"/>
        <v>216</v>
      </c>
      <c r="C225" s="6">
        <f t="shared" si="18"/>
        <v>2460.7562923616729</v>
      </c>
      <c r="D225" s="6">
        <f t="shared" si="19"/>
        <v>2900.472549066154</v>
      </c>
      <c r="E225" s="6">
        <f t="shared" si="22"/>
        <v>-439.71625670448094</v>
      </c>
      <c r="F225" s="6">
        <f t="shared" si="23"/>
        <v>-96291.53591992936</v>
      </c>
      <c r="G225" s="6"/>
    </row>
    <row r="226" spans="1:7" x14ac:dyDescent="0.25">
      <c r="A226" s="2">
        <f t="shared" ca="1" si="20"/>
        <v>50100</v>
      </c>
      <c r="B226">
        <f t="shared" si="21"/>
        <v>217</v>
      </c>
      <c r="C226" s="6">
        <f t="shared" si="18"/>
        <v>2460.7562923616729</v>
      </c>
      <c r="D226" s="6">
        <f t="shared" si="19"/>
        <v>2914.1289406513401</v>
      </c>
      <c r="E226" s="6">
        <f t="shared" si="22"/>
        <v>-453.37264828966744</v>
      </c>
      <c r="F226" s="6">
        <f t="shared" si="23"/>
        <v>-99205.664860580699</v>
      </c>
      <c r="G226" s="6"/>
    </row>
    <row r="227" spans="1:7" x14ac:dyDescent="0.25">
      <c r="A227" s="2">
        <f t="shared" ca="1" si="20"/>
        <v>50131</v>
      </c>
      <c r="B227">
        <f t="shared" si="21"/>
        <v>218</v>
      </c>
      <c r="C227" s="6">
        <f t="shared" si="18"/>
        <v>2460.7562923616729</v>
      </c>
      <c r="D227" s="6">
        <f t="shared" si="19"/>
        <v>2927.8496310802402</v>
      </c>
      <c r="E227" s="6">
        <f t="shared" si="22"/>
        <v>-467.09333871856745</v>
      </c>
      <c r="F227" s="6">
        <f t="shared" si="23"/>
        <v>-102133.51449166094</v>
      </c>
      <c r="G227" s="6"/>
    </row>
    <row r="228" spans="1:7" x14ac:dyDescent="0.25">
      <c r="A228" s="2">
        <f t="shared" ca="1" si="20"/>
        <v>50161</v>
      </c>
      <c r="B228">
        <f t="shared" si="21"/>
        <v>219</v>
      </c>
      <c r="C228" s="6">
        <f t="shared" si="18"/>
        <v>2460.7562923616729</v>
      </c>
      <c r="D228" s="6">
        <f t="shared" si="19"/>
        <v>2941.6349230932433</v>
      </c>
      <c r="E228" s="6">
        <f t="shared" si="22"/>
        <v>-480.8786307315703</v>
      </c>
      <c r="F228" s="6">
        <f t="shared" si="23"/>
        <v>-105075.14941475418</v>
      </c>
      <c r="G228" s="6"/>
    </row>
    <row r="229" spans="1:7" x14ac:dyDescent="0.25">
      <c r="A229" s="2">
        <f t="shared" ca="1" si="20"/>
        <v>50192</v>
      </c>
      <c r="B229">
        <f t="shared" si="21"/>
        <v>220</v>
      </c>
      <c r="C229" s="6">
        <f t="shared" si="18"/>
        <v>2460.7562923616729</v>
      </c>
      <c r="D229" s="6">
        <f t="shared" si="19"/>
        <v>2955.4851208561404</v>
      </c>
      <c r="E229" s="6">
        <f t="shared" si="22"/>
        <v>-494.72882849446762</v>
      </c>
      <c r="F229" s="6">
        <f t="shared" si="23"/>
        <v>-108030.63453561033</v>
      </c>
      <c r="G229" s="6"/>
    </row>
    <row r="230" spans="1:7" x14ac:dyDescent="0.25">
      <c r="A230" s="2">
        <f t="shared" ca="1" si="20"/>
        <v>50222</v>
      </c>
      <c r="B230">
        <f t="shared" si="21"/>
        <v>221</v>
      </c>
      <c r="C230" s="6">
        <f t="shared" si="18"/>
        <v>2460.7562923616729</v>
      </c>
      <c r="D230" s="6">
        <f t="shared" si="19"/>
        <v>2969.4005299668383</v>
      </c>
      <c r="E230" s="6">
        <f t="shared" si="22"/>
        <v>-508.6442376051653</v>
      </c>
      <c r="F230" s="6">
        <f t="shared" si="23"/>
        <v>-111000.03506557716</v>
      </c>
      <c r="G230" s="6"/>
    </row>
    <row r="231" spans="1:7" x14ac:dyDescent="0.25">
      <c r="A231" s="2">
        <f t="shared" ca="1" si="20"/>
        <v>50253</v>
      </c>
      <c r="B231">
        <f t="shared" si="21"/>
        <v>222</v>
      </c>
      <c r="C231" s="6">
        <f t="shared" si="18"/>
        <v>2460.7562923616729</v>
      </c>
      <c r="D231" s="6">
        <f t="shared" si="19"/>
        <v>2983.3814574620988</v>
      </c>
      <c r="E231" s="6">
        <f t="shared" si="22"/>
        <v>-522.62516510042587</v>
      </c>
      <c r="F231" s="6">
        <f t="shared" si="23"/>
        <v>-113983.41652303925</v>
      </c>
      <c r="G231" s="6"/>
    </row>
    <row r="232" spans="1:7" x14ac:dyDescent="0.25">
      <c r="A232" s="2">
        <f t="shared" ca="1" si="20"/>
        <v>50284</v>
      </c>
      <c r="B232">
        <f t="shared" si="21"/>
        <v>223</v>
      </c>
      <c r="C232" s="6">
        <f t="shared" si="18"/>
        <v>2460.7562923616729</v>
      </c>
      <c r="D232" s="6">
        <f t="shared" si="19"/>
        <v>2997.4282118243159</v>
      </c>
      <c r="E232" s="6">
        <f t="shared" si="22"/>
        <v>-536.67191946264313</v>
      </c>
      <c r="F232" s="6">
        <f t="shared" si="23"/>
        <v>-116980.84473486357</v>
      </c>
      <c r="G232" s="6"/>
    </row>
    <row r="233" spans="1:7" x14ac:dyDescent="0.25">
      <c r="A233" s="2">
        <f t="shared" ca="1" si="20"/>
        <v>50314</v>
      </c>
      <c r="B233">
        <f t="shared" si="21"/>
        <v>224</v>
      </c>
      <c r="C233" s="6">
        <f t="shared" si="18"/>
        <v>2460.7562923616729</v>
      </c>
      <c r="D233" s="6">
        <f t="shared" si="19"/>
        <v>3011.5411029883221</v>
      </c>
      <c r="E233" s="6">
        <f t="shared" si="22"/>
        <v>-550.78481062664935</v>
      </c>
      <c r="F233" s="6">
        <f t="shared" si="23"/>
        <v>-119992.38583785189</v>
      </c>
      <c r="G233" s="6"/>
    </row>
    <row r="234" spans="1:7" x14ac:dyDescent="0.25">
      <c r="A234" s="2">
        <f t="shared" ca="1" si="20"/>
        <v>50345</v>
      </c>
      <c r="B234">
        <f t="shared" si="21"/>
        <v>225</v>
      </c>
      <c r="C234" s="6">
        <f t="shared" si="18"/>
        <v>2460.7562923616729</v>
      </c>
      <c r="D234" s="6">
        <f t="shared" si="19"/>
        <v>3025.7204423482253</v>
      </c>
      <c r="E234" s="6">
        <f t="shared" si="22"/>
        <v>-564.96414998655268</v>
      </c>
      <c r="F234" s="6">
        <f t="shared" si="23"/>
        <v>-123018.10628020013</v>
      </c>
      <c r="G234" s="6"/>
    </row>
    <row r="235" spans="1:7" x14ac:dyDescent="0.25">
      <c r="A235" s="2">
        <f t="shared" ca="1" si="20"/>
        <v>50375</v>
      </c>
      <c r="B235">
        <f t="shared" si="21"/>
        <v>226</v>
      </c>
      <c r="C235" s="6">
        <f t="shared" si="18"/>
        <v>2460.7562923616729</v>
      </c>
      <c r="D235" s="6">
        <f t="shared" si="19"/>
        <v>3039.9665427642817</v>
      </c>
      <c r="E235" s="6">
        <f t="shared" si="22"/>
        <v>-579.21025040260895</v>
      </c>
      <c r="F235" s="6">
        <f t="shared" si="23"/>
        <v>-126058.0728229644</v>
      </c>
      <c r="G235" s="6"/>
    </row>
    <row r="236" spans="1:7" x14ac:dyDescent="0.25">
      <c r="A236" s="2">
        <f t="shared" ca="1" si="20"/>
        <v>50406</v>
      </c>
      <c r="B236">
        <f t="shared" si="21"/>
        <v>227</v>
      </c>
      <c r="C236" s="6">
        <f t="shared" si="18"/>
        <v>2460.7562923616729</v>
      </c>
      <c r="D236" s="6">
        <f t="shared" si="19"/>
        <v>3054.2797185697968</v>
      </c>
      <c r="E236" s="6">
        <f t="shared" si="22"/>
        <v>-593.52342620812408</v>
      </c>
      <c r="F236" s="6">
        <f t="shared" si="23"/>
        <v>-129112.3525415342</v>
      </c>
      <c r="G236" s="6"/>
    </row>
    <row r="237" spans="1:7" x14ac:dyDescent="0.25">
      <c r="A237" s="2">
        <f t="shared" ca="1" si="20"/>
        <v>50437</v>
      </c>
      <c r="B237">
        <f t="shared" si="21"/>
        <v>228</v>
      </c>
      <c r="C237" s="6">
        <f t="shared" si="18"/>
        <v>2460.7562923616729</v>
      </c>
      <c r="D237" s="6">
        <f t="shared" si="19"/>
        <v>3068.6602855780629</v>
      </c>
      <c r="E237" s="6">
        <f t="shared" si="22"/>
        <v>-607.90399321639018</v>
      </c>
      <c r="F237" s="6">
        <f t="shared" si="23"/>
        <v>-132181.01282711225</v>
      </c>
      <c r="G237" s="6"/>
    </row>
    <row r="238" spans="1:7" x14ac:dyDescent="0.25">
      <c r="A238" s="2">
        <f t="shared" ca="1" si="20"/>
        <v>50465</v>
      </c>
      <c r="B238">
        <f t="shared" si="21"/>
        <v>229</v>
      </c>
      <c r="C238" s="6">
        <f t="shared" si="18"/>
        <v>2460.7562923616729</v>
      </c>
      <c r="D238" s="6">
        <f t="shared" si="19"/>
        <v>3083.1085610893265</v>
      </c>
      <c r="E238" s="6">
        <f t="shared" si="22"/>
        <v>-622.3522687276535</v>
      </c>
      <c r="F238" s="6">
        <f t="shared" si="23"/>
        <v>-135264.12138820157</v>
      </c>
      <c r="G238" s="6"/>
    </row>
    <row r="239" spans="1:7" x14ac:dyDescent="0.25">
      <c r="A239" s="2">
        <f t="shared" ca="1" si="20"/>
        <v>50496</v>
      </c>
      <c r="B239">
        <f t="shared" si="21"/>
        <v>230</v>
      </c>
      <c r="C239" s="6">
        <f t="shared" si="18"/>
        <v>2460.7562923616729</v>
      </c>
      <c r="D239" s="6">
        <f t="shared" si="19"/>
        <v>3097.6248638977886</v>
      </c>
      <c r="E239" s="6">
        <f t="shared" si="22"/>
        <v>-636.86857153611572</v>
      </c>
      <c r="F239" s="6">
        <f t="shared" si="23"/>
        <v>-138361.74625209937</v>
      </c>
      <c r="G239" s="6"/>
    </row>
    <row r="240" spans="1:7" x14ac:dyDescent="0.25">
      <c r="A240" s="2">
        <f t="shared" ca="1" si="20"/>
        <v>50526</v>
      </c>
      <c r="B240">
        <f t="shared" si="21"/>
        <v>231</v>
      </c>
      <c r="C240" s="6">
        <f t="shared" si="18"/>
        <v>2460.7562923616729</v>
      </c>
      <c r="D240" s="6">
        <f t="shared" si="19"/>
        <v>3112.2095142986409</v>
      </c>
      <c r="E240" s="6">
        <f t="shared" si="22"/>
        <v>-651.45322193696791</v>
      </c>
      <c r="F240" s="6">
        <f t="shared" si="23"/>
        <v>-141473.95576639802</v>
      </c>
      <c r="G240" s="6"/>
    </row>
    <row r="241" spans="1:7" x14ac:dyDescent="0.25">
      <c r="A241" s="2">
        <f t="shared" ca="1" si="20"/>
        <v>50557</v>
      </c>
      <c r="B241">
        <f t="shared" si="21"/>
        <v>232</v>
      </c>
      <c r="C241" s="6">
        <f t="shared" si="18"/>
        <v>2460.7562923616729</v>
      </c>
      <c r="D241" s="6">
        <f t="shared" si="19"/>
        <v>3126.86283409513</v>
      </c>
      <c r="E241" s="6">
        <f t="shared" si="22"/>
        <v>-666.10654173345733</v>
      </c>
      <c r="F241" s="6">
        <f t="shared" si="23"/>
        <v>-144600.81860049316</v>
      </c>
      <c r="G241" s="6"/>
    </row>
    <row r="242" spans="1:7" x14ac:dyDescent="0.25">
      <c r="A242" s="2">
        <f t="shared" ca="1" si="20"/>
        <v>50587</v>
      </c>
      <c r="B242">
        <f t="shared" si="21"/>
        <v>233</v>
      </c>
      <c r="C242" s="6">
        <f t="shared" si="18"/>
        <v>2460.7562923616729</v>
      </c>
      <c r="D242" s="6">
        <f t="shared" si="19"/>
        <v>3141.5851466056615</v>
      </c>
      <c r="E242" s="6">
        <f t="shared" si="22"/>
        <v>-680.82885424398864</v>
      </c>
      <c r="F242" s="6">
        <f t="shared" si="23"/>
        <v>-147742.40374709881</v>
      </c>
      <c r="G242" s="6"/>
    </row>
    <row r="243" spans="1:7" x14ac:dyDescent="0.25">
      <c r="A243" s="2">
        <f t="shared" ca="1" si="20"/>
        <v>50618</v>
      </c>
      <c r="B243">
        <f t="shared" si="21"/>
        <v>234</v>
      </c>
      <c r="C243" s="6">
        <f t="shared" si="18"/>
        <v>2460.7562923616729</v>
      </c>
      <c r="D243" s="6">
        <f t="shared" si="19"/>
        <v>3156.3767766709298</v>
      </c>
      <c r="E243" s="6">
        <f t="shared" si="22"/>
        <v>-695.62048430925688</v>
      </c>
      <c r="F243" s="6">
        <f t="shared" si="23"/>
        <v>-150898.78052376973</v>
      </c>
      <c r="G243" s="6"/>
    </row>
    <row r="244" spans="1:7" x14ac:dyDescent="0.25">
      <c r="A244" s="2">
        <f t="shared" ca="1" si="20"/>
        <v>50649</v>
      </c>
      <c r="B244">
        <f t="shared" si="21"/>
        <v>235</v>
      </c>
      <c r="C244" s="6">
        <f t="shared" si="18"/>
        <v>2460.7562923616729</v>
      </c>
      <c r="D244" s="6">
        <f t="shared" si="19"/>
        <v>3171.2380506610889</v>
      </c>
      <c r="E244" s="6">
        <f t="shared" si="22"/>
        <v>-710.48175829941579</v>
      </c>
      <c r="F244" s="6">
        <f t="shared" si="23"/>
        <v>-154070.01857443081</v>
      </c>
      <c r="G244" s="6"/>
    </row>
    <row r="245" spans="1:7" x14ac:dyDescent="0.25">
      <c r="A245" s="2">
        <f t="shared" ca="1" si="20"/>
        <v>50679</v>
      </c>
      <c r="B245">
        <f t="shared" si="21"/>
        <v>236</v>
      </c>
      <c r="C245" s="6">
        <f t="shared" si="18"/>
        <v>2460.7562923616729</v>
      </c>
      <c r="D245" s="6">
        <f t="shared" si="19"/>
        <v>3186.1692964829513</v>
      </c>
      <c r="E245" s="6">
        <f t="shared" si="22"/>
        <v>-725.41300412127839</v>
      </c>
      <c r="F245" s="6">
        <f t="shared" si="23"/>
        <v>-157256.18787091377</v>
      </c>
      <c r="G245" s="6"/>
    </row>
    <row r="246" spans="1:7" x14ac:dyDescent="0.25">
      <c r="A246" s="2">
        <f t="shared" ca="1" si="20"/>
        <v>50710</v>
      </c>
      <c r="B246">
        <f t="shared" si="21"/>
        <v>237</v>
      </c>
      <c r="C246" s="6">
        <f t="shared" si="18"/>
        <v>2460.7562923616729</v>
      </c>
      <c r="D246" s="6">
        <f t="shared" si="19"/>
        <v>3201.1708435872251</v>
      </c>
      <c r="E246" s="6">
        <f t="shared" si="22"/>
        <v>-740.41455122555237</v>
      </c>
      <c r="F246" s="6">
        <f t="shared" si="23"/>
        <v>-160457.358714501</v>
      </c>
      <c r="G246" s="6"/>
    </row>
    <row r="247" spans="1:7" x14ac:dyDescent="0.25">
      <c r="A247" s="2">
        <f t="shared" ca="1" si="20"/>
        <v>50740</v>
      </c>
      <c r="B247">
        <f t="shared" si="21"/>
        <v>238</v>
      </c>
      <c r="C247" s="6">
        <f t="shared" si="18"/>
        <v>2460.7562923616729</v>
      </c>
      <c r="D247" s="6">
        <f t="shared" si="19"/>
        <v>3216.243022975782</v>
      </c>
      <c r="E247" s="6">
        <f t="shared" si="22"/>
        <v>-755.48673061410886</v>
      </c>
      <c r="F247" s="6">
        <f t="shared" si="23"/>
        <v>-163673.60173747677</v>
      </c>
      <c r="G247" s="6"/>
    </row>
    <row r="248" spans="1:7" x14ac:dyDescent="0.25">
      <c r="A248" s="2">
        <f t="shared" ca="1" si="20"/>
        <v>50771</v>
      </c>
      <c r="B248">
        <f t="shared" si="21"/>
        <v>239</v>
      </c>
      <c r="C248" s="6">
        <f t="shared" si="18"/>
        <v>2460.7562923616729</v>
      </c>
      <c r="D248" s="6">
        <f t="shared" si="19"/>
        <v>3231.3861672089593</v>
      </c>
      <c r="E248" s="6">
        <f t="shared" si="22"/>
        <v>-770.62987484728649</v>
      </c>
      <c r="F248" s="6">
        <f t="shared" si="23"/>
        <v>-166904.98790468572</v>
      </c>
      <c r="G248" s="6"/>
    </row>
    <row r="249" spans="1:7" x14ac:dyDescent="0.25">
      <c r="A249" s="2">
        <f t="shared" ca="1" si="20"/>
        <v>50802</v>
      </c>
      <c r="B249">
        <f t="shared" si="21"/>
        <v>240</v>
      </c>
      <c r="C249" s="6">
        <f t="shared" si="18"/>
        <v>2460.7562923616729</v>
      </c>
      <c r="D249" s="6">
        <f t="shared" si="19"/>
        <v>3246.6006104129015</v>
      </c>
      <c r="E249" s="6">
        <f t="shared" si="22"/>
        <v>-785.84431805122858</v>
      </c>
      <c r="F249" s="6">
        <f t="shared" si="23"/>
        <v>-170151.58851509861</v>
      </c>
      <c r="G249" s="6"/>
    </row>
    <row r="250" spans="1:7" x14ac:dyDescent="0.25">
      <c r="A250" s="2">
        <f t="shared" ca="1" si="20"/>
        <v>50830</v>
      </c>
      <c r="B250">
        <f t="shared" si="21"/>
        <v>241</v>
      </c>
      <c r="C250" s="6">
        <f t="shared" si="18"/>
        <v>2460.7562923616729</v>
      </c>
      <c r="D250" s="6">
        <f t="shared" si="19"/>
        <v>3261.8866882869288</v>
      </c>
      <c r="E250" s="6">
        <f t="shared" si="22"/>
        <v>-801.13039592525604</v>
      </c>
      <c r="F250" s="6">
        <f t="shared" si="23"/>
        <v>-173413.47520338555</v>
      </c>
      <c r="G250" s="6"/>
    </row>
    <row r="251" spans="1:7" x14ac:dyDescent="0.25">
      <c r="A251" s="2">
        <f t="shared" ca="1" si="20"/>
        <v>50861</v>
      </c>
      <c r="B251">
        <f t="shared" si="21"/>
        <v>242</v>
      </c>
      <c r="C251" s="6">
        <f t="shared" si="18"/>
        <v>2460.7562923616729</v>
      </c>
      <c r="D251" s="6">
        <f t="shared" si="19"/>
        <v>3277.2447381109464</v>
      </c>
      <c r="E251" s="6">
        <f t="shared" si="22"/>
        <v>-816.48844574927364</v>
      </c>
      <c r="F251" s="6">
        <f t="shared" si="23"/>
        <v>-176690.7199414965</v>
      </c>
      <c r="G251" s="6"/>
    </row>
    <row r="252" spans="1:7" x14ac:dyDescent="0.25">
      <c r="A252" s="2">
        <f t="shared" ca="1" si="20"/>
        <v>50891</v>
      </c>
      <c r="B252">
        <f t="shared" si="21"/>
        <v>243</v>
      </c>
      <c r="C252" s="6">
        <f t="shared" si="18"/>
        <v>2460.7562923616729</v>
      </c>
      <c r="D252" s="6">
        <f t="shared" si="19"/>
        <v>3292.6750987528858</v>
      </c>
      <c r="E252" s="6">
        <f t="shared" si="22"/>
        <v>-831.91880639121268</v>
      </c>
      <c r="F252" s="6">
        <f t="shared" si="23"/>
        <v>-179983.39504024939</v>
      </c>
      <c r="G252" s="6"/>
    </row>
    <row r="253" spans="1:7" x14ac:dyDescent="0.25">
      <c r="A253" s="2">
        <f t="shared" ca="1" si="20"/>
        <v>50922</v>
      </c>
      <c r="B253">
        <f t="shared" si="21"/>
        <v>244</v>
      </c>
      <c r="C253" s="6">
        <f t="shared" si="18"/>
        <v>2460.7562923616729</v>
      </c>
      <c r="D253" s="6">
        <f t="shared" si="19"/>
        <v>3308.1781106761805</v>
      </c>
      <c r="E253" s="6">
        <f t="shared" si="22"/>
        <v>-847.42181831450762</v>
      </c>
      <c r="F253" s="6">
        <f t="shared" si="23"/>
        <v>-183291.57315092557</v>
      </c>
      <c r="G253" s="6"/>
    </row>
    <row r="254" spans="1:7" x14ac:dyDescent="0.25">
      <c r="A254" s="2">
        <f t="shared" ca="1" si="20"/>
        <v>50952</v>
      </c>
      <c r="B254">
        <f t="shared" si="21"/>
        <v>245</v>
      </c>
      <c r="C254" s="6">
        <f t="shared" si="18"/>
        <v>2460.7562923616729</v>
      </c>
      <c r="D254" s="6">
        <f t="shared" si="19"/>
        <v>3323.7541159472808</v>
      </c>
      <c r="E254" s="6">
        <f t="shared" si="22"/>
        <v>-862.99782358560788</v>
      </c>
      <c r="F254" s="6">
        <f t="shared" si="23"/>
        <v>-186615.32726687286</v>
      </c>
      <c r="G254" s="6"/>
    </row>
    <row r="255" spans="1:7" x14ac:dyDescent="0.25">
      <c r="A255" s="2">
        <f t="shared" ca="1" si="20"/>
        <v>50983</v>
      </c>
      <c r="B255">
        <f t="shared" si="21"/>
        <v>246</v>
      </c>
      <c r="C255" s="6">
        <f t="shared" si="18"/>
        <v>2460.7562923616729</v>
      </c>
      <c r="D255" s="6">
        <f t="shared" si="19"/>
        <v>3339.4034582431996</v>
      </c>
      <c r="E255" s="6">
        <f t="shared" si="22"/>
        <v>-878.64716588152646</v>
      </c>
      <c r="F255" s="6">
        <f t="shared" si="23"/>
        <v>-189954.73072511607</v>
      </c>
      <c r="G255" s="6"/>
    </row>
    <row r="256" spans="1:7" x14ac:dyDescent="0.25">
      <c r="A256" s="2">
        <f t="shared" ca="1" si="20"/>
        <v>51014</v>
      </c>
      <c r="B256">
        <f t="shared" si="21"/>
        <v>247</v>
      </c>
      <c r="C256" s="6">
        <f t="shared" si="18"/>
        <v>2460.7562923616729</v>
      </c>
      <c r="D256" s="6">
        <f t="shared" si="19"/>
        <v>3355.1264828590943</v>
      </c>
      <c r="E256" s="6">
        <f t="shared" si="22"/>
        <v>-894.3701904974215</v>
      </c>
      <c r="F256" s="6">
        <f t="shared" si="23"/>
        <v>-193309.85720797518</v>
      </c>
      <c r="G256" s="6"/>
    </row>
    <row r="257" spans="1:7" x14ac:dyDescent="0.25">
      <c r="A257" s="2">
        <f t="shared" ca="1" si="20"/>
        <v>51044</v>
      </c>
      <c r="B257">
        <f t="shared" si="21"/>
        <v>248</v>
      </c>
      <c r="C257" s="6">
        <f t="shared" si="18"/>
        <v>2460.7562923616729</v>
      </c>
      <c r="D257" s="6">
        <f t="shared" si="19"/>
        <v>3370.9235367158894</v>
      </c>
      <c r="E257" s="6">
        <f t="shared" si="22"/>
        <v>-910.16724435421645</v>
      </c>
      <c r="F257" s="6">
        <f t="shared" si="23"/>
        <v>-196680.78074469106</v>
      </c>
      <c r="G257" s="6"/>
    </row>
    <row r="258" spans="1:7" x14ac:dyDescent="0.25">
      <c r="A258" s="2">
        <f t="shared" ca="1" si="20"/>
        <v>51075</v>
      </c>
      <c r="B258">
        <f t="shared" si="21"/>
        <v>249</v>
      </c>
      <c r="C258" s="6">
        <f t="shared" si="18"/>
        <v>2460.7562923616729</v>
      </c>
      <c r="D258" s="6">
        <f t="shared" si="19"/>
        <v>3386.7949683679267</v>
      </c>
      <c r="E258" s="6">
        <f t="shared" si="22"/>
        <v>-926.03867600625381</v>
      </c>
      <c r="F258" s="6">
        <f t="shared" si="23"/>
        <v>-200067.57571305899</v>
      </c>
      <c r="G258" s="6"/>
    </row>
    <row r="259" spans="1:7" x14ac:dyDescent="0.25">
      <c r="A259" s="2">
        <f t="shared" ca="1" si="20"/>
        <v>51105</v>
      </c>
      <c r="B259">
        <f t="shared" si="21"/>
        <v>250</v>
      </c>
      <c r="C259" s="6">
        <f t="shared" si="18"/>
        <v>2460.7562923616729</v>
      </c>
      <c r="D259" s="6">
        <f t="shared" si="19"/>
        <v>3402.7411280106589</v>
      </c>
      <c r="E259" s="6">
        <f t="shared" si="22"/>
        <v>-941.98483564898606</v>
      </c>
      <c r="F259" s="6">
        <f t="shared" si="23"/>
        <v>-203470.31684106964</v>
      </c>
      <c r="G259" s="6"/>
    </row>
    <row r="260" spans="1:7" x14ac:dyDescent="0.25">
      <c r="A260" s="2">
        <f t="shared" ca="1" si="20"/>
        <v>51136</v>
      </c>
      <c r="B260">
        <f t="shared" si="21"/>
        <v>251</v>
      </c>
      <c r="C260" s="6">
        <f t="shared" si="18"/>
        <v>2460.7562923616729</v>
      </c>
      <c r="D260" s="6">
        <f t="shared" si="19"/>
        <v>3418.7623674883757</v>
      </c>
      <c r="E260" s="6">
        <f t="shared" si="22"/>
        <v>-958.00607512670285</v>
      </c>
      <c r="F260" s="6">
        <f t="shared" si="23"/>
        <v>-206889.07920855802</v>
      </c>
      <c r="G260" s="6"/>
    </row>
    <row r="261" spans="1:7" x14ac:dyDescent="0.25">
      <c r="A261" s="2">
        <f t="shared" ca="1" si="20"/>
        <v>51167</v>
      </c>
      <c r="B261">
        <f t="shared" si="21"/>
        <v>252</v>
      </c>
      <c r="C261" s="6">
        <f t="shared" si="18"/>
        <v>2460.7562923616729</v>
      </c>
      <c r="D261" s="6">
        <f t="shared" si="19"/>
        <v>3434.8590403019671</v>
      </c>
      <c r="E261" s="6">
        <f t="shared" si="22"/>
        <v>-974.10274794029408</v>
      </c>
      <c r="F261" s="6">
        <f t="shared" si="23"/>
        <v>-210323.93824885998</v>
      </c>
      <c r="G261" s="6"/>
    </row>
    <row r="262" spans="1:7" x14ac:dyDescent="0.25">
      <c r="A262" s="2">
        <f t="shared" ca="1" si="20"/>
        <v>51196</v>
      </c>
      <c r="B262">
        <f t="shared" si="21"/>
        <v>253</v>
      </c>
      <c r="C262" s="6">
        <f t="shared" si="18"/>
        <v>2460.7562923616729</v>
      </c>
      <c r="D262" s="6">
        <f t="shared" si="19"/>
        <v>3451.0315016167219</v>
      </c>
      <c r="E262" s="6">
        <f t="shared" si="22"/>
        <v>-990.27520925504905</v>
      </c>
      <c r="F262" s="6">
        <f t="shared" si="23"/>
        <v>-213774.96975047671</v>
      </c>
      <c r="G262" s="6"/>
    </row>
    <row r="263" spans="1:7" x14ac:dyDescent="0.25">
      <c r="A263" s="2">
        <f t="shared" ca="1" si="20"/>
        <v>51227</v>
      </c>
      <c r="B263">
        <f t="shared" si="21"/>
        <v>254</v>
      </c>
      <c r="C263" s="6">
        <f t="shared" si="18"/>
        <v>2460.7562923616729</v>
      </c>
      <c r="D263" s="6">
        <f t="shared" si="19"/>
        <v>3467.2801082701671</v>
      </c>
      <c r="E263" s="6">
        <f t="shared" si="22"/>
        <v>-1006.5238159084945</v>
      </c>
      <c r="F263" s="6">
        <f t="shared" si="23"/>
        <v>-217242.24985874689</v>
      </c>
      <c r="G263" s="6"/>
    </row>
    <row r="264" spans="1:7" x14ac:dyDescent="0.25">
      <c r="A264" s="2">
        <f t="shared" ca="1" si="20"/>
        <v>51257</v>
      </c>
      <c r="B264">
        <f t="shared" si="21"/>
        <v>255</v>
      </c>
      <c r="C264" s="6">
        <f t="shared" si="18"/>
        <v>2460.7562923616729</v>
      </c>
      <c r="D264" s="6">
        <f t="shared" si="19"/>
        <v>3483.6052187799396</v>
      </c>
      <c r="E264" s="6">
        <f t="shared" si="22"/>
        <v>-1022.8489264182666</v>
      </c>
      <c r="F264" s="6">
        <f t="shared" si="23"/>
        <v>-220725.85507752682</v>
      </c>
      <c r="G264" s="6"/>
    </row>
    <row r="265" spans="1:7" x14ac:dyDescent="0.25">
      <c r="A265" s="2">
        <f t="shared" ca="1" si="20"/>
        <v>51288</v>
      </c>
      <c r="B265">
        <f t="shared" si="21"/>
        <v>256</v>
      </c>
      <c r="C265" s="6">
        <f t="shared" si="18"/>
        <v>2460.7562923616729</v>
      </c>
      <c r="D265" s="6">
        <f t="shared" si="19"/>
        <v>3500.0071933516947</v>
      </c>
      <c r="E265" s="6">
        <f t="shared" si="22"/>
        <v>-1039.250900990022</v>
      </c>
      <c r="F265" s="6">
        <f t="shared" si="23"/>
        <v>-224225.86227087851</v>
      </c>
      <c r="G265" s="6"/>
    </row>
    <row r="266" spans="1:7" x14ac:dyDescent="0.25">
      <c r="A266" s="2">
        <f t="shared" ca="1" si="20"/>
        <v>51318</v>
      </c>
      <c r="B266">
        <f t="shared" si="21"/>
        <v>257</v>
      </c>
      <c r="C266" s="6">
        <f t="shared" si="18"/>
        <v>2460.7562923616729</v>
      </c>
      <c r="D266" s="6">
        <f t="shared" si="19"/>
        <v>3516.4863938870594</v>
      </c>
      <c r="E266" s="6">
        <f t="shared" si="22"/>
        <v>-1055.7301015253863</v>
      </c>
      <c r="F266" s="6">
        <f t="shared" si="23"/>
        <v>-227742.34866476557</v>
      </c>
      <c r="G266" s="6"/>
    </row>
    <row r="267" spans="1:7" x14ac:dyDescent="0.25">
      <c r="A267" s="2">
        <f t="shared" ca="1" si="20"/>
        <v>51349</v>
      </c>
      <c r="B267">
        <f t="shared" si="21"/>
        <v>258</v>
      </c>
      <c r="C267" s="6">
        <f t="shared" ref="C267:C330" si="24">-PMT($C$4/12,$C$5,$C$3,0)</f>
        <v>2460.7562923616729</v>
      </c>
      <c r="D267" s="6">
        <f t="shared" ref="D267:D330" si="25">C267-E267</f>
        <v>3533.0431839916109</v>
      </c>
      <c r="E267" s="6">
        <f t="shared" si="22"/>
        <v>-1072.2868916299378</v>
      </c>
      <c r="F267" s="6">
        <f t="shared" si="23"/>
        <v>-231275.39184875716</v>
      </c>
      <c r="G267" s="6"/>
    </row>
    <row r="268" spans="1:7" x14ac:dyDescent="0.25">
      <c r="A268" s="2">
        <f t="shared" ref="A268:A331" ca="1" si="26">DATE(YEAR(A267),MONTH(A267)+1,1)</f>
        <v>51380</v>
      </c>
      <c r="B268">
        <f t="shared" ref="B268:B331" si="27">B267+1</f>
        <v>259</v>
      </c>
      <c r="C268" s="6">
        <f t="shared" si="24"/>
        <v>2460.7562923616729</v>
      </c>
      <c r="D268" s="6">
        <f t="shared" si="25"/>
        <v>3549.6779289829046</v>
      </c>
      <c r="E268" s="6">
        <f t="shared" ref="E268:E331" si="28">($C$4/12)*F267</f>
        <v>-1088.9216366212318</v>
      </c>
      <c r="F268" s="6">
        <f t="shared" si="23"/>
        <v>-234825.06977774008</v>
      </c>
      <c r="G268" s="6"/>
    </row>
    <row r="269" spans="1:7" x14ac:dyDescent="0.25">
      <c r="A269" s="2">
        <f t="shared" ca="1" si="26"/>
        <v>51410</v>
      </c>
      <c r="B269">
        <f t="shared" si="27"/>
        <v>260</v>
      </c>
      <c r="C269" s="6">
        <f t="shared" si="24"/>
        <v>2460.7562923616729</v>
      </c>
      <c r="D269" s="6">
        <f t="shared" si="25"/>
        <v>3566.3909958985323</v>
      </c>
      <c r="E269" s="6">
        <f t="shared" si="28"/>
        <v>-1105.6347035368597</v>
      </c>
      <c r="F269" s="6">
        <f t="shared" si="23"/>
        <v>-238391.46077363862</v>
      </c>
      <c r="G269" s="6"/>
    </row>
    <row r="270" spans="1:7" x14ac:dyDescent="0.25">
      <c r="A270" s="2">
        <f t="shared" ca="1" si="26"/>
        <v>51441</v>
      </c>
      <c r="B270">
        <f t="shared" si="27"/>
        <v>261</v>
      </c>
      <c r="C270" s="6">
        <f t="shared" si="24"/>
        <v>2460.7562923616729</v>
      </c>
      <c r="D270" s="6">
        <f t="shared" si="25"/>
        <v>3583.1827535042212</v>
      </c>
      <c r="E270" s="6">
        <f t="shared" si="28"/>
        <v>-1122.4264611425485</v>
      </c>
      <c r="F270" s="6">
        <f t="shared" ref="F270:F333" si="29">F269-D270</f>
        <v>-241974.64352714285</v>
      </c>
      <c r="G270" s="6"/>
    </row>
    <row r="271" spans="1:7" x14ac:dyDescent="0.25">
      <c r="A271" s="2">
        <f t="shared" ca="1" si="26"/>
        <v>51471</v>
      </c>
      <c r="B271">
        <f t="shared" si="27"/>
        <v>262</v>
      </c>
      <c r="C271" s="6">
        <f t="shared" si="24"/>
        <v>2460.7562923616729</v>
      </c>
      <c r="D271" s="6">
        <f t="shared" si="25"/>
        <v>3600.0535723019702</v>
      </c>
      <c r="E271" s="6">
        <f t="shared" si="28"/>
        <v>-1139.2972799402976</v>
      </c>
      <c r="F271" s="6">
        <f t="shared" si="29"/>
        <v>-245574.69709944481</v>
      </c>
      <c r="G271" s="6"/>
    </row>
    <row r="272" spans="1:7" x14ac:dyDescent="0.25">
      <c r="A272" s="2">
        <f t="shared" ca="1" si="26"/>
        <v>51502</v>
      </c>
      <c r="B272">
        <f t="shared" si="27"/>
        <v>263</v>
      </c>
      <c r="C272" s="6">
        <f t="shared" si="24"/>
        <v>2460.7562923616729</v>
      </c>
      <c r="D272" s="6">
        <f t="shared" si="25"/>
        <v>3617.0038245382257</v>
      </c>
      <c r="E272" s="6">
        <f t="shared" si="28"/>
        <v>-1156.2475321765526</v>
      </c>
      <c r="F272" s="6">
        <f t="shared" si="29"/>
        <v>-249191.70092398304</v>
      </c>
      <c r="G272" s="6"/>
    </row>
    <row r="273" spans="1:7" x14ac:dyDescent="0.25">
      <c r="A273" s="2">
        <f t="shared" ca="1" si="26"/>
        <v>51533</v>
      </c>
      <c r="B273">
        <f t="shared" si="27"/>
        <v>264</v>
      </c>
      <c r="C273" s="6">
        <f t="shared" si="24"/>
        <v>2460.7562923616729</v>
      </c>
      <c r="D273" s="6">
        <f t="shared" si="25"/>
        <v>3634.0338842120927</v>
      </c>
      <c r="E273" s="6">
        <f t="shared" si="28"/>
        <v>-1173.2775918504201</v>
      </c>
      <c r="F273" s="6">
        <f t="shared" si="29"/>
        <v>-252825.73480819512</v>
      </c>
      <c r="G273" s="6"/>
    </row>
    <row r="274" spans="1:7" x14ac:dyDescent="0.25">
      <c r="A274" s="2">
        <f t="shared" ca="1" si="26"/>
        <v>51561</v>
      </c>
      <c r="B274">
        <f t="shared" si="27"/>
        <v>265</v>
      </c>
      <c r="C274" s="6">
        <f t="shared" si="24"/>
        <v>2460.7562923616729</v>
      </c>
      <c r="D274" s="6">
        <f t="shared" si="25"/>
        <v>3651.1441270835917</v>
      </c>
      <c r="E274" s="6">
        <f t="shared" si="28"/>
        <v>-1190.3878347219188</v>
      </c>
      <c r="F274" s="6">
        <f t="shared" si="29"/>
        <v>-256476.87893527871</v>
      </c>
      <c r="G274" s="6"/>
    </row>
    <row r="275" spans="1:7" x14ac:dyDescent="0.25">
      <c r="A275" s="2">
        <f t="shared" ca="1" si="26"/>
        <v>51592</v>
      </c>
      <c r="B275">
        <f t="shared" si="27"/>
        <v>266</v>
      </c>
      <c r="C275" s="6">
        <f t="shared" si="24"/>
        <v>2460.7562923616729</v>
      </c>
      <c r="D275" s="6">
        <f t="shared" si="25"/>
        <v>3668.3349306819437</v>
      </c>
      <c r="E275" s="6">
        <f t="shared" si="28"/>
        <v>-1207.5786383202706</v>
      </c>
      <c r="F275" s="6">
        <f t="shared" si="29"/>
        <v>-260145.21386596066</v>
      </c>
      <c r="G275" s="6"/>
    </row>
    <row r="276" spans="1:7" x14ac:dyDescent="0.25">
      <c r="A276" s="2">
        <f t="shared" ca="1" si="26"/>
        <v>51622</v>
      </c>
      <c r="B276">
        <f t="shared" si="27"/>
        <v>267</v>
      </c>
      <c r="C276" s="6">
        <f t="shared" si="24"/>
        <v>2460.7562923616729</v>
      </c>
      <c r="D276" s="6">
        <f t="shared" si="25"/>
        <v>3685.6066743139045</v>
      </c>
      <c r="E276" s="6">
        <f t="shared" si="28"/>
        <v>-1224.8503819522314</v>
      </c>
      <c r="F276" s="6">
        <f t="shared" si="29"/>
        <v>-263830.82054027455</v>
      </c>
      <c r="G276" s="6"/>
    </row>
    <row r="277" spans="1:7" x14ac:dyDescent="0.25">
      <c r="A277" s="2">
        <f t="shared" ca="1" si="26"/>
        <v>51653</v>
      </c>
      <c r="B277">
        <f t="shared" si="27"/>
        <v>268</v>
      </c>
      <c r="C277" s="6">
        <f t="shared" si="24"/>
        <v>2460.7562923616729</v>
      </c>
      <c r="D277" s="6">
        <f t="shared" si="25"/>
        <v>3702.9597390721319</v>
      </c>
      <c r="E277" s="6">
        <f t="shared" si="28"/>
        <v>-1242.2034467104593</v>
      </c>
      <c r="F277" s="6">
        <f t="shared" si="29"/>
        <v>-267533.78027934668</v>
      </c>
      <c r="G277" s="6"/>
    </row>
    <row r="278" spans="1:7" x14ac:dyDescent="0.25">
      <c r="A278" s="2">
        <f t="shared" ca="1" si="26"/>
        <v>51683</v>
      </c>
      <c r="B278">
        <f t="shared" si="27"/>
        <v>269</v>
      </c>
      <c r="C278" s="6">
        <f t="shared" si="24"/>
        <v>2460.7562923616729</v>
      </c>
      <c r="D278" s="6">
        <f t="shared" si="25"/>
        <v>3720.3945078435968</v>
      </c>
      <c r="E278" s="6">
        <f t="shared" si="28"/>
        <v>-1259.6382154819239</v>
      </c>
      <c r="F278" s="6">
        <f t="shared" si="29"/>
        <v>-271254.17478719028</v>
      </c>
      <c r="G278" s="6"/>
    </row>
    <row r="279" spans="1:7" x14ac:dyDescent="0.25">
      <c r="A279" s="2">
        <f t="shared" ca="1" si="26"/>
        <v>51714</v>
      </c>
      <c r="B279">
        <f t="shared" si="27"/>
        <v>270</v>
      </c>
      <c r="C279" s="6">
        <f t="shared" si="24"/>
        <v>2460.7562923616729</v>
      </c>
      <c r="D279" s="6">
        <f t="shared" si="25"/>
        <v>3737.911365318027</v>
      </c>
      <c r="E279" s="6">
        <f t="shared" si="28"/>
        <v>-1277.1550729563542</v>
      </c>
      <c r="F279" s="6">
        <f t="shared" si="29"/>
        <v>-274992.08615250833</v>
      </c>
      <c r="G279" s="6"/>
    </row>
    <row r="280" spans="1:7" x14ac:dyDescent="0.25">
      <c r="A280" s="2">
        <f t="shared" ca="1" si="26"/>
        <v>51745</v>
      </c>
      <c r="B280">
        <f t="shared" si="27"/>
        <v>271</v>
      </c>
      <c r="C280" s="6">
        <f t="shared" si="24"/>
        <v>2460.7562923616729</v>
      </c>
      <c r="D280" s="6">
        <f t="shared" si="25"/>
        <v>3755.5106979963994</v>
      </c>
      <c r="E280" s="6">
        <f t="shared" si="28"/>
        <v>-1294.7544056347267</v>
      </c>
      <c r="F280" s="6">
        <f t="shared" si="29"/>
        <v>-278747.59685050475</v>
      </c>
      <c r="G280" s="6"/>
    </row>
    <row r="281" spans="1:7" x14ac:dyDescent="0.25">
      <c r="A281" s="2">
        <f t="shared" ca="1" si="26"/>
        <v>51775</v>
      </c>
      <c r="B281">
        <f t="shared" si="27"/>
        <v>272</v>
      </c>
      <c r="C281" s="6">
        <f t="shared" si="24"/>
        <v>2460.7562923616729</v>
      </c>
      <c r="D281" s="6">
        <f t="shared" si="25"/>
        <v>3773.1928941994661</v>
      </c>
      <c r="E281" s="6">
        <f t="shared" si="28"/>
        <v>-1312.4366018377932</v>
      </c>
      <c r="F281" s="6">
        <f t="shared" si="29"/>
        <v>-282520.78974470421</v>
      </c>
      <c r="G281" s="6"/>
    </row>
    <row r="282" spans="1:7" x14ac:dyDescent="0.25">
      <c r="A282" s="2">
        <f t="shared" ca="1" si="26"/>
        <v>51806</v>
      </c>
      <c r="B282">
        <f t="shared" si="27"/>
        <v>273</v>
      </c>
      <c r="C282" s="6">
        <f t="shared" si="24"/>
        <v>2460.7562923616729</v>
      </c>
      <c r="D282" s="6">
        <f t="shared" si="25"/>
        <v>3790.9583440763217</v>
      </c>
      <c r="E282" s="6">
        <f t="shared" si="28"/>
        <v>-1330.2020517146491</v>
      </c>
      <c r="F282" s="6">
        <f t="shared" si="29"/>
        <v>-286311.7480887805</v>
      </c>
      <c r="G282" s="6"/>
    </row>
    <row r="283" spans="1:7" x14ac:dyDescent="0.25">
      <c r="A283" s="2">
        <f t="shared" ca="1" si="26"/>
        <v>51836</v>
      </c>
      <c r="B283">
        <f t="shared" si="27"/>
        <v>274</v>
      </c>
      <c r="C283" s="6">
        <f t="shared" si="24"/>
        <v>2460.7562923616729</v>
      </c>
      <c r="D283" s="6">
        <f t="shared" si="25"/>
        <v>3808.8074396130141</v>
      </c>
      <c r="E283" s="6">
        <f t="shared" si="28"/>
        <v>-1348.0511472513415</v>
      </c>
      <c r="F283" s="6">
        <f t="shared" si="29"/>
        <v>-290120.55552839354</v>
      </c>
      <c r="G283" s="6"/>
    </row>
    <row r="284" spans="1:7" x14ac:dyDescent="0.25">
      <c r="A284" s="2">
        <f t="shared" ca="1" si="26"/>
        <v>51867</v>
      </c>
      <c r="B284">
        <f t="shared" si="27"/>
        <v>275</v>
      </c>
      <c r="C284" s="6">
        <f t="shared" si="24"/>
        <v>2460.7562923616729</v>
      </c>
      <c r="D284" s="6">
        <f t="shared" si="25"/>
        <v>3826.7405746411923</v>
      </c>
      <c r="E284" s="6">
        <f t="shared" si="28"/>
        <v>-1365.9842822795197</v>
      </c>
      <c r="F284" s="6">
        <f t="shared" si="29"/>
        <v>-293947.29610303475</v>
      </c>
      <c r="G284" s="6"/>
    </row>
    <row r="285" spans="1:7" x14ac:dyDescent="0.25">
      <c r="A285" s="2">
        <f t="shared" ca="1" si="26"/>
        <v>51898</v>
      </c>
      <c r="B285">
        <f t="shared" si="27"/>
        <v>276</v>
      </c>
      <c r="C285" s="6">
        <f t="shared" si="24"/>
        <v>2460.7562923616729</v>
      </c>
      <c r="D285" s="6">
        <f t="shared" si="25"/>
        <v>3844.7581448467949</v>
      </c>
      <c r="E285" s="6">
        <f t="shared" si="28"/>
        <v>-1384.0018524851221</v>
      </c>
      <c r="F285" s="6">
        <f t="shared" si="29"/>
        <v>-297792.05424788152</v>
      </c>
      <c r="G285" s="6"/>
    </row>
    <row r="286" spans="1:7" x14ac:dyDescent="0.25">
      <c r="A286" s="2">
        <f t="shared" ca="1" si="26"/>
        <v>51926</v>
      </c>
      <c r="B286">
        <f t="shared" si="27"/>
        <v>277</v>
      </c>
      <c r="C286" s="6">
        <f t="shared" si="24"/>
        <v>2460.7562923616729</v>
      </c>
      <c r="D286" s="6">
        <f t="shared" si="25"/>
        <v>3862.8605477787814</v>
      </c>
      <c r="E286" s="6">
        <f t="shared" si="28"/>
        <v>-1402.1042554171088</v>
      </c>
      <c r="F286" s="6">
        <f t="shared" si="29"/>
        <v>-301654.9147956603</v>
      </c>
      <c r="G286" s="6"/>
    </row>
    <row r="287" spans="1:7" x14ac:dyDescent="0.25">
      <c r="A287" s="2">
        <f t="shared" ca="1" si="26"/>
        <v>51957</v>
      </c>
      <c r="B287">
        <f t="shared" si="27"/>
        <v>278</v>
      </c>
      <c r="C287" s="6">
        <f t="shared" si="24"/>
        <v>2460.7562923616729</v>
      </c>
      <c r="D287" s="6">
        <f t="shared" si="25"/>
        <v>3881.0481828579068</v>
      </c>
      <c r="E287" s="6">
        <f t="shared" si="28"/>
        <v>-1420.2918904962339</v>
      </c>
      <c r="F287" s="6">
        <f t="shared" si="29"/>
        <v>-305535.96297851822</v>
      </c>
      <c r="G287" s="6"/>
    </row>
    <row r="288" spans="1:7" x14ac:dyDescent="0.25">
      <c r="A288" s="2">
        <f t="shared" ca="1" si="26"/>
        <v>51987</v>
      </c>
      <c r="B288">
        <f t="shared" si="27"/>
        <v>279</v>
      </c>
      <c r="C288" s="6">
        <f t="shared" si="24"/>
        <v>2460.7562923616729</v>
      </c>
      <c r="D288" s="6">
        <f t="shared" si="25"/>
        <v>3899.3214513855296</v>
      </c>
      <c r="E288" s="6">
        <f t="shared" si="28"/>
        <v>-1438.5651590238567</v>
      </c>
      <c r="F288" s="6">
        <f t="shared" si="29"/>
        <v>-309435.28442990372</v>
      </c>
      <c r="G288" s="6"/>
    </row>
    <row r="289" spans="1:7" x14ac:dyDescent="0.25">
      <c r="A289" s="2">
        <f t="shared" ca="1" si="26"/>
        <v>52018</v>
      </c>
      <c r="B289">
        <f t="shared" si="27"/>
        <v>280</v>
      </c>
      <c r="C289" s="6">
        <f t="shared" si="24"/>
        <v>2460.7562923616729</v>
      </c>
      <c r="D289" s="6">
        <f t="shared" si="25"/>
        <v>3917.6807565524696</v>
      </c>
      <c r="E289" s="6">
        <f t="shared" si="28"/>
        <v>-1456.9244641907967</v>
      </c>
      <c r="F289" s="6">
        <f t="shared" si="29"/>
        <v>-313352.96518645622</v>
      </c>
      <c r="G289" s="6"/>
    </row>
    <row r="290" spans="1:7" x14ac:dyDescent="0.25">
      <c r="A290" s="2">
        <f t="shared" ca="1" si="26"/>
        <v>52048</v>
      </c>
      <c r="B290">
        <f t="shared" si="27"/>
        <v>281</v>
      </c>
      <c r="C290" s="6">
        <f t="shared" si="24"/>
        <v>2460.7562923616729</v>
      </c>
      <c r="D290" s="6">
        <f t="shared" si="25"/>
        <v>3936.1265034479043</v>
      </c>
      <c r="E290" s="6">
        <f t="shared" si="28"/>
        <v>-1475.3702110862314</v>
      </c>
      <c r="F290" s="6">
        <f t="shared" si="29"/>
        <v>-317289.0916899041</v>
      </c>
      <c r="G290" s="6"/>
    </row>
    <row r="291" spans="1:7" x14ac:dyDescent="0.25">
      <c r="A291" s="2">
        <f t="shared" ca="1" si="26"/>
        <v>52079</v>
      </c>
      <c r="B291">
        <f t="shared" si="27"/>
        <v>282</v>
      </c>
      <c r="C291" s="6">
        <f t="shared" si="24"/>
        <v>2460.7562923616729</v>
      </c>
      <c r="D291" s="6">
        <f t="shared" si="25"/>
        <v>3954.6590990683048</v>
      </c>
      <c r="E291" s="6">
        <f t="shared" si="28"/>
        <v>-1493.902806706632</v>
      </c>
      <c r="F291" s="6">
        <f t="shared" si="29"/>
        <v>-321243.75078897242</v>
      </c>
      <c r="G291" s="6"/>
    </row>
    <row r="292" spans="1:7" x14ac:dyDescent="0.25">
      <c r="A292" s="2">
        <f t="shared" ca="1" si="26"/>
        <v>52110</v>
      </c>
      <c r="B292">
        <f t="shared" si="27"/>
        <v>283</v>
      </c>
      <c r="C292" s="6">
        <f t="shared" si="24"/>
        <v>2460.7562923616729</v>
      </c>
      <c r="D292" s="6">
        <f t="shared" si="25"/>
        <v>3973.2789523264182</v>
      </c>
      <c r="E292" s="6">
        <f t="shared" si="28"/>
        <v>-1512.5226599647451</v>
      </c>
      <c r="F292" s="6">
        <f t="shared" si="29"/>
        <v>-325217.02974129881</v>
      </c>
      <c r="G292" s="6"/>
    </row>
    <row r="293" spans="1:7" x14ac:dyDescent="0.25">
      <c r="A293" s="2">
        <f t="shared" ca="1" si="26"/>
        <v>52140</v>
      </c>
      <c r="B293">
        <f t="shared" si="27"/>
        <v>284</v>
      </c>
      <c r="C293" s="6">
        <f t="shared" si="24"/>
        <v>2460.7562923616729</v>
      </c>
      <c r="D293" s="6">
        <f t="shared" si="25"/>
        <v>3991.9864740602879</v>
      </c>
      <c r="E293" s="6">
        <f t="shared" si="28"/>
        <v>-1531.2301816986153</v>
      </c>
      <c r="F293" s="6">
        <f t="shared" si="29"/>
        <v>-329209.01621535909</v>
      </c>
      <c r="G293" s="6"/>
    </row>
    <row r="294" spans="1:7" x14ac:dyDescent="0.25">
      <c r="A294" s="2">
        <f t="shared" ca="1" si="26"/>
        <v>52171</v>
      </c>
      <c r="B294">
        <f t="shared" si="27"/>
        <v>285</v>
      </c>
      <c r="C294" s="6">
        <f t="shared" si="24"/>
        <v>2460.7562923616729</v>
      </c>
      <c r="D294" s="6">
        <f t="shared" si="25"/>
        <v>4010.7820770423223</v>
      </c>
      <c r="E294" s="6">
        <f t="shared" si="28"/>
        <v>-1550.0257846806492</v>
      </c>
      <c r="F294" s="6">
        <f t="shared" si="29"/>
        <v>-333219.79829240142</v>
      </c>
      <c r="G294" s="6"/>
    </row>
    <row r="295" spans="1:7" x14ac:dyDescent="0.25">
      <c r="A295" s="2">
        <f t="shared" ca="1" si="26"/>
        <v>52201</v>
      </c>
      <c r="B295">
        <f t="shared" si="27"/>
        <v>286</v>
      </c>
      <c r="C295" s="6">
        <f t="shared" si="24"/>
        <v>2460.7562923616729</v>
      </c>
      <c r="D295" s="6">
        <f t="shared" si="25"/>
        <v>4029.6661759883964</v>
      </c>
      <c r="E295" s="6">
        <f t="shared" si="28"/>
        <v>-1568.9098836267235</v>
      </c>
      <c r="F295" s="6">
        <f t="shared" si="29"/>
        <v>-337249.46446838981</v>
      </c>
      <c r="G295" s="6"/>
    </row>
    <row r="296" spans="1:7" x14ac:dyDescent="0.25">
      <c r="A296" s="2">
        <f t="shared" ca="1" si="26"/>
        <v>52232</v>
      </c>
      <c r="B296">
        <f t="shared" si="27"/>
        <v>287</v>
      </c>
      <c r="C296" s="6">
        <f t="shared" si="24"/>
        <v>2460.7562923616729</v>
      </c>
      <c r="D296" s="6">
        <f t="shared" si="25"/>
        <v>4048.6391875670083</v>
      </c>
      <c r="E296" s="6">
        <f t="shared" si="28"/>
        <v>-1587.8828952053354</v>
      </c>
      <c r="F296" s="6">
        <f t="shared" si="29"/>
        <v>-341298.1036559568</v>
      </c>
      <c r="G296" s="6"/>
    </row>
    <row r="297" spans="1:7" x14ac:dyDescent="0.25">
      <c r="A297" s="2">
        <f t="shared" ca="1" si="26"/>
        <v>52263</v>
      </c>
      <c r="B297">
        <f t="shared" si="27"/>
        <v>288</v>
      </c>
      <c r="C297" s="6">
        <f t="shared" si="24"/>
        <v>2460.7562923616729</v>
      </c>
      <c r="D297" s="6">
        <f t="shared" si="25"/>
        <v>4067.7015304084698</v>
      </c>
      <c r="E297" s="6">
        <f t="shared" si="28"/>
        <v>-1606.9452380467967</v>
      </c>
      <c r="F297" s="6">
        <f t="shared" si="29"/>
        <v>-345365.80518636527</v>
      </c>
      <c r="G297" s="6"/>
    </row>
    <row r="298" spans="1:7" x14ac:dyDescent="0.25">
      <c r="A298" s="2">
        <f t="shared" ca="1" si="26"/>
        <v>52291</v>
      </c>
      <c r="B298">
        <f t="shared" si="27"/>
        <v>289</v>
      </c>
      <c r="C298" s="6">
        <f t="shared" si="24"/>
        <v>2460.7562923616729</v>
      </c>
      <c r="D298" s="6">
        <f t="shared" si="25"/>
        <v>4086.8536251141427</v>
      </c>
      <c r="E298" s="6">
        <f t="shared" si="28"/>
        <v>-1626.0973327524698</v>
      </c>
      <c r="F298" s="6">
        <f t="shared" si="29"/>
        <v>-349452.6588114794</v>
      </c>
      <c r="G298" s="6"/>
    </row>
    <row r="299" spans="1:7" x14ac:dyDescent="0.25">
      <c r="A299" s="2">
        <f t="shared" ca="1" si="26"/>
        <v>52322</v>
      </c>
      <c r="B299">
        <f t="shared" si="27"/>
        <v>290</v>
      </c>
      <c r="C299" s="6">
        <f t="shared" si="24"/>
        <v>2460.7562923616729</v>
      </c>
      <c r="D299" s="6">
        <f t="shared" si="25"/>
        <v>4106.0958942657217</v>
      </c>
      <c r="E299" s="6">
        <f t="shared" si="28"/>
        <v>-1645.3396019040488</v>
      </c>
      <c r="F299" s="6">
        <f t="shared" si="29"/>
        <v>-353558.75470574514</v>
      </c>
      <c r="G299" s="6"/>
    </row>
    <row r="300" spans="1:7" x14ac:dyDescent="0.25">
      <c r="A300" s="2">
        <f t="shared" ca="1" si="26"/>
        <v>52352</v>
      </c>
      <c r="B300">
        <f t="shared" si="27"/>
        <v>291</v>
      </c>
      <c r="C300" s="6">
        <f t="shared" si="24"/>
        <v>2460.7562923616729</v>
      </c>
      <c r="D300" s="6">
        <f t="shared" si="25"/>
        <v>4125.4287624345561</v>
      </c>
      <c r="E300" s="6">
        <f t="shared" si="28"/>
        <v>-1664.6724700728835</v>
      </c>
      <c r="F300" s="6">
        <f t="shared" si="29"/>
        <v>-357684.18346817972</v>
      </c>
      <c r="G300" s="6"/>
    </row>
    <row r="301" spans="1:7" x14ac:dyDescent="0.25">
      <c r="A301" s="2">
        <f t="shared" ca="1" si="26"/>
        <v>52383</v>
      </c>
      <c r="B301">
        <f t="shared" si="27"/>
        <v>292</v>
      </c>
      <c r="C301" s="6">
        <f t="shared" si="24"/>
        <v>2460.7562923616729</v>
      </c>
      <c r="D301" s="6">
        <f t="shared" si="25"/>
        <v>4144.8526561910194</v>
      </c>
      <c r="E301" s="6">
        <f t="shared" si="28"/>
        <v>-1684.0963638293463</v>
      </c>
      <c r="F301" s="6">
        <f t="shared" si="29"/>
        <v>-361829.03612437076</v>
      </c>
      <c r="G301" s="6"/>
    </row>
    <row r="302" spans="1:7" x14ac:dyDescent="0.25">
      <c r="A302" s="2">
        <f t="shared" ca="1" si="26"/>
        <v>52413</v>
      </c>
      <c r="B302">
        <f t="shared" si="27"/>
        <v>293</v>
      </c>
      <c r="C302" s="6">
        <f t="shared" si="24"/>
        <v>2460.7562923616729</v>
      </c>
      <c r="D302" s="6">
        <f t="shared" si="25"/>
        <v>4164.3680041139187</v>
      </c>
      <c r="E302" s="6">
        <f t="shared" si="28"/>
        <v>-1703.6117117522458</v>
      </c>
      <c r="F302" s="6">
        <f t="shared" si="29"/>
        <v>-365993.40412848466</v>
      </c>
      <c r="G302" s="6"/>
    </row>
    <row r="303" spans="1:7" x14ac:dyDescent="0.25">
      <c r="A303" s="2">
        <f t="shared" ca="1" si="26"/>
        <v>52444</v>
      </c>
      <c r="B303">
        <f t="shared" si="27"/>
        <v>294</v>
      </c>
      <c r="C303" s="6">
        <f t="shared" si="24"/>
        <v>2460.7562923616729</v>
      </c>
      <c r="D303" s="6">
        <f t="shared" si="25"/>
        <v>4183.9752367999554</v>
      </c>
      <c r="E303" s="6">
        <f t="shared" si="28"/>
        <v>-1723.2189444382821</v>
      </c>
      <c r="F303" s="6">
        <f t="shared" si="29"/>
        <v>-370177.37936528464</v>
      </c>
      <c r="G303" s="6"/>
    </row>
    <row r="304" spans="1:7" x14ac:dyDescent="0.25">
      <c r="A304" s="2">
        <f t="shared" ca="1" si="26"/>
        <v>52475</v>
      </c>
      <c r="B304">
        <f t="shared" si="27"/>
        <v>295</v>
      </c>
      <c r="C304" s="6">
        <f t="shared" si="24"/>
        <v>2460.7562923616729</v>
      </c>
      <c r="D304" s="6">
        <f t="shared" si="25"/>
        <v>4203.6747868732218</v>
      </c>
      <c r="E304" s="6">
        <f t="shared" si="28"/>
        <v>-1742.9184945115485</v>
      </c>
      <c r="F304" s="6">
        <f t="shared" si="29"/>
        <v>-374381.05415215786</v>
      </c>
      <c r="G304" s="6"/>
    </row>
    <row r="305" spans="1:7" x14ac:dyDescent="0.25">
      <c r="A305" s="2">
        <f t="shared" ca="1" si="26"/>
        <v>52505</v>
      </c>
      <c r="B305">
        <f t="shared" si="27"/>
        <v>296</v>
      </c>
      <c r="C305" s="6">
        <f t="shared" si="24"/>
        <v>2460.7562923616729</v>
      </c>
      <c r="D305" s="6">
        <f t="shared" si="25"/>
        <v>4223.4670889947492</v>
      </c>
      <c r="E305" s="6">
        <f t="shared" si="28"/>
        <v>-1762.7107966330766</v>
      </c>
      <c r="F305" s="6">
        <f t="shared" si="29"/>
        <v>-378604.5212411526</v>
      </c>
      <c r="G305" s="6"/>
    </row>
    <row r="306" spans="1:7" x14ac:dyDescent="0.25">
      <c r="A306" s="2">
        <f t="shared" ca="1" si="26"/>
        <v>52536</v>
      </c>
      <c r="B306">
        <f t="shared" si="27"/>
        <v>297</v>
      </c>
      <c r="C306" s="6">
        <f t="shared" si="24"/>
        <v>2460.7562923616729</v>
      </c>
      <c r="D306" s="6">
        <f t="shared" si="25"/>
        <v>4243.3525798721003</v>
      </c>
      <c r="E306" s="6">
        <f t="shared" si="28"/>
        <v>-1782.5962875104269</v>
      </c>
      <c r="F306" s="6">
        <f t="shared" si="29"/>
        <v>-382847.87382102472</v>
      </c>
      <c r="G306" s="6"/>
    </row>
    <row r="307" spans="1:7" x14ac:dyDescent="0.25">
      <c r="A307" s="2">
        <f t="shared" ca="1" si="26"/>
        <v>52566</v>
      </c>
      <c r="B307">
        <f t="shared" si="27"/>
        <v>298</v>
      </c>
      <c r="C307" s="6">
        <f t="shared" si="24"/>
        <v>2460.7562923616729</v>
      </c>
      <c r="D307" s="6">
        <f t="shared" si="25"/>
        <v>4263.3316982689976</v>
      </c>
      <c r="E307" s="6">
        <f t="shared" si="28"/>
        <v>-1802.5754059073247</v>
      </c>
      <c r="F307" s="6">
        <f t="shared" si="29"/>
        <v>-387111.20551929373</v>
      </c>
      <c r="G307" s="6"/>
    </row>
    <row r="308" spans="1:7" x14ac:dyDescent="0.25">
      <c r="A308" s="2">
        <f t="shared" ca="1" si="26"/>
        <v>52597</v>
      </c>
      <c r="B308">
        <f t="shared" si="27"/>
        <v>299</v>
      </c>
      <c r="C308" s="6">
        <f t="shared" si="24"/>
        <v>2460.7562923616729</v>
      </c>
      <c r="D308" s="6">
        <f t="shared" si="25"/>
        <v>4283.4048850150139</v>
      </c>
      <c r="E308" s="6">
        <f t="shared" si="28"/>
        <v>-1822.6485926533414</v>
      </c>
      <c r="F308" s="6">
        <f t="shared" si="29"/>
        <v>-391394.61040430877</v>
      </c>
      <c r="G308" s="6"/>
    </row>
    <row r="309" spans="1:7" x14ac:dyDescent="0.25">
      <c r="A309" s="2">
        <f t="shared" ca="1" si="26"/>
        <v>52628</v>
      </c>
      <c r="B309">
        <f t="shared" si="27"/>
        <v>300</v>
      </c>
      <c r="C309" s="6">
        <f t="shared" si="24"/>
        <v>2460.7562923616729</v>
      </c>
      <c r="D309" s="6">
        <f t="shared" si="25"/>
        <v>4303.5725830152933</v>
      </c>
      <c r="E309" s="6">
        <f t="shared" si="28"/>
        <v>-1842.8162906536204</v>
      </c>
      <c r="F309" s="6">
        <f t="shared" si="29"/>
        <v>-395698.18298732408</v>
      </c>
      <c r="G309" s="6"/>
    </row>
    <row r="310" spans="1:7" x14ac:dyDescent="0.25">
      <c r="A310" s="2">
        <f t="shared" ca="1" si="26"/>
        <v>52657</v>
      </c>
      <c r="B310">
        <f t="shared" si="27"/>
        <v>301</v>
      </c>
      <c r="C310" s="6">
        <f t="shared" si="24"/>
        <v>2460.7562923616729</v>
      </c>
      <c r="D310" s="6">
        <f t="shared" si="25"/>
        <v>4323.835237260324</v>
      </c>
      <c r="E310" s="6">
        <f t="shared" si="28"/>
        <v>-1863.0789448986509</v>
      </c>
      <c r="F310" s="6">
        <f t="shared" si="29"/>
        <v>-400022.0182245844</v>
      </c>
      <c r="G310" s="6"/>
    </row>
    <row r="311" spans="1:7" x14ac:dyDescent="0.25">
      <c r="A311" s="2">
        <f t="shared" ca="1" si="26"/>
        <v>52688</v>
      </c>
      <c r="B311">
        <f t="shared" si="27"/>
        <v>302</v>
      </c>
      <c r="C311" s="6">
        <f t="shared" si="24"/>
        <v>2460.7562923616729</v>
      </c>
      <c r="D311" s="6">
        <f t="shared" si="25"/>
        <v>4344.193294835758</v>
      </c>
      <c r="E311" s="6">
        <f t="shared" si="28"/>
        <v>-1883.4370024740849</v>
      </c>
      <c r="F311" s="6">
        <f t="shared" si="29"/>
        <v>-404366.21151942015</v>
      </c>
      <c r="G311" s="6"/>
    </row>
    <row r="312" spans="1:7" x14ac:dyDescent="0.25">
      <c r="A312" s="2">
        <f t="shared" ca="1" si="26"/>
        <v>52718</v>
      </c>
      <c r="B312">
        <f t="shared" si="27"/>
        <v>303</v>
      </c>
      <c r="C312" s="6">
        <f t="shared" si="24"/>
        <v>2460.7562923616729</v>
      </c>
      <c r="D312" s="6">
        <f t="shared" si="25"/>
        <v>4364.6472049322765</v>
      </c>
      <c r="E312" s="6">
        <f t="shared" si="28"/>
        <v>-1903.8909125706032</v>
      </c>
      <c r="F312" s="6">
        <f t="shared" si="29"/>
        <v>-408730.85872435244</v>
      </c>
      <c r="G312" s="6"/>
    </row>
    <row r="313" spans="1:7" x14ac:dyDescent="0.25">
      <c r="A313" s="2">
        <f t="shared" ca="1" si="26"/>
        <v>52749</v>
      </c>
      <c r="B313">
        <f t="shared" si="27"/>
        <v>304</v>
      </c>
      <c r="C313" s="6">
        <f t="shared" si="24"/>
        <v>2460.7562923616729</v>
      </c>
      <c r="D313" s="6">
        <f t="shared" si="25"/>
        <v>4385.1974188554987</v>
      </c>
      <c r="E313" s="6">
        <f t="shared" si="28"/>
        <v>-1924.441126493826</v>
      </c>
      <c r="F313" s="6">
        <f t="shared" si="29"/>
        <v>-413116.05614320794</v>
      </c>
      <c r="G313" s="6"/>
    </row>
    <row r="314" spans="1:7" x14ac:dyDescent="0.25">
      <c r="A314" s="2">
        <f t="shared" ca="1" si="26"/>
        <v>52779</v>
      </c>
      <c r="B314">
        <f t="shared" si="27"/>
        <v>305</v>
      </c>
      <c r="C314" s="6">
        <f t="shared" si="24"/>
        <v>2460.7562923616729</v>
      </c>
      <c r="D314" s="6">
        <f t="shared" si="25"/>
        <v>4405.8443900359434</v>
      </c>
      <c r="E314" s="6">
        <f t="shared" si="28"/>
        <v>-1945.0880976742708</v>
      </c>
      <c r="F314" s="6">
        <f t="shared" si="29"/>
        <v>-417521.9005332439</v>
      </c>
      <c r="G314" s="6"/>
    </row>
    <row r="315" spans="1:7" x14ac:dyDescent="0.25">
      <c r="A315" s="2">
        <f t="shared" ca="1" si="26"/>
        <v>52810</v>
      </c>
      <c r="B315">
        <f t="shared" si="27"/>
        <v>306</v>
      </c>
      <c r="C315" s="6">
        <f t="shared" si="24"/>
        <v>2460.7562923616729</v>
      </c>
      <c r="D315" s="6">
        <f t="shared" si="25"/>
        <v>4426.5885740390295</v>
      </c>
      <c r="E315" s="6">
        <f t="shared" si="28"/>
        <v>-1965.8322816773568</v>
      </c>
      <c r="F315" s="6">
        <f t="shared" si="29"/>
        <v>-421948.48910728295</v>
      </c>
      <c r="G315" s="6"/>
    </row>
    <row r="316" spans="1:7" x14ac:dyDescent="0.25">
      <c r="A316" s="2">
        <f t="shared" ca="1" si="26"/>
        <v>52841</v>
      </c>
      <c r="B316">
        <f t="shared" si="27"/>
        <v>307</v>
      </c>
      <c r="C316" s="6">
        <f t="shared" si="24"/>
        <v>2460.7562923616729</v>
      </c>
      <c r="D316" s="6">
        <f t="shared" si="25"/>
        <v>4447.4304285751305</v>
      </c>
      <c r="E316" s="6">
        <f t="shared" si="28"/>
        <v>-1986.6741362134574</v>
      </c>
      <c r="F316" s="6">
        <f t="shared" si="29"/>
        <v>-426395.91953585809</v>
      </c>
      <c r="G316" s="6"/>
    </row>
    <row r="317" spans="1:7" x14ac:dyDescent="0.25">
      <c r="A317" s="2">
        <f t="shared" ca="1" si="26"/>
        <v>52871</v>
      </c>
      <c r="B317">
        <f t="shared" si="27"/>
        <v>308</v>
      </c>
      <c r="C317" s="6">
        <f t="shared" si="24"/>
        <v>2460.7562923616729</v>
      </c>
      <c r="D317" s="6">
        <f t="shared" si="25"/>
        <v>4468.3704135096714</v>
      </c>
      <c r="E317" s="6">
        <f t="shared" si="28"/>
        <v>-2007.6141211479985</v>
      </c>
      <c r="F317" s="6">
        <f t="shared" si="29"/>
        <v>-430864.28994936775</v>
      </c>
      <c r="G317" s="6"/>
    </row>
    <row r="318" spans="1:7" x14ac:dyDescent="0.25">
      <c r="A318" s="2">
        <f t="shared" ca="1" si="26"/>
        <v>52902</v>
      </c>
      <c r="B318">
        <f t="shared" si="27"/>
        <v>309</v>
      </c>
      <c r="C318" s="6">
        <f t="shared" si="24"/>
        <v>2460.7562923616729</v>
      </c>
      <c r="D318" s="6">
        <f t="shared" si="25"/>
        <v>4489.4089908732794</v>
      </c>
      <c r="E318" s="6">
        <f t="shared" si="28"/>
        <v>-2028.6526985116066</v>
      </c>
      <c r="F318" s="6">
        <f t="shared" si="29"/>
        <v>-435353.69894024101</v>
      </c>
      <c r="G318" s="6"/>
    </row>
    <row r="319" spans="1:7" x14ac:dyDescent="0.25">
      <c r="A319" s="2">
        <f t="shared" ca="1" si="26"/>
        <v>52932</v>
      </c>
      <c r="B319">
        <f t="shared" si="27"/>
        <v>310</v>
      </c>
      <c r="C319" s="6">
        <f t="shared" si="24"/>
        <v>2460.7562923616729</v>
      </c>
      <c r="D319" s="6">
        <f t="shared" si="25"/>
        <v>4510.5466248719749</v>
      </c>
      <c r="E319" s="6">
        <f t="shared" si="28"/>
        <v>-2049.7903325103016</v>
      </c>
      <c r="F319" s="6">
        <f t="shared" si="29"/>
        <v>-439864.24556511297</v>
      </c>
      <c r="G319" s="6"/>
    </row>
    <row r="320" spans="1:7" x14ac:dyDescent="0.25">
      <c r="A320" s="2">
        <f t="shared" ca="1" si="26"/>
        <v>52963</v>
      </c>
      <c r="B320">
        <f t="shared" si="27"/>
        <v>311</v>
      </c>
      <c r="C320" s="6">
        <f t="shared" si="24"/>
        <v>2460.7562923616729</v>
      </c>
      <c r="D320" s="6">
        <f t="shared" si="25"/>
        <v>4531.7837818974131</v>
      </c>
      <c r="E320" s="6">
        <f t="shared" si="28"/>
        <v>-2071.0274895357402</v>
      </c>
      <c r="F320" s="6">
        <f t="shared" si="29"/>
        <v>-444396.02934701036</v>
      </c>
      <c r="G320" s="6"/>
    </row>
    <row r="321" spans="1:7" x14ac:dyDescent="0.25">
      <c r="A321" s="2">
        <f t="shared" ca="1" si="26"/>
        <v>52994</v>
      </c>
      <c r="B321">
        <f t="shared" si="27"/>
        <v>312</v>
      </c>
      <c r="C321" s="6">
        <f t="shared" si="24"/>
        <v>2460.7562923616729</v>
      </c>
      <c r="D321" s="6">
        <f t="shared" si="25"/>
        <v>4553.1209305371794</v>
      </c>
      <c r="E321" s="6">
        <f t="shared" si="28"/>
        <v>-2092.364638175507</v>
      </c>
      <c r="F321" s="6">
        <f t="shared" si="29"/>
        <v>-448949.15027754754</v>
      </c>
      <c r="G321" s="6"/>
    </row>
    <row r="322" spans="1:7" x14ac:dyDescent="0.25">
      <c r="A322" s="2">
        <f t="shared" ca="1" si="26"/>
        <v>53022</v>
      </c>
      <c r="B322">
        <f t="shared" si="27"/>
        <v>313</v>
      </c>
      <c r="C322" s="6">
        <f t="shared" si="24"/>
        <v>2460.7562923616729</v>
      </c>
      <c r="D322" s="6">
        <f t="shared" si="25"/>
        <v>4574.5585415851256</v>
      </c>
      <c r="E322" s="6">
        <f t="shared" si="28"/>
        <v>-2113.8022492234531</v>
      </c>
      <c r="F322" s="6">
        <f t="shared" si="29"/>
        <v>-453523.70881913265</v>
      </c>
      <c r="G322" s="6"/>
    </row>
    <row r="323" spans="1:7" x14ac:dyDescent="0.25">
      <c r="A323" s="2">
        <f t="shared" ca="1" si="26"/>
        <v>53053</v>
      </c>
      <c r="B323">
        <f t="shared" si="27"/>
        <v>314</v>
      </c>
      <c r="C323" s="6">
        <f t="shared" si="24"/>
        <v>2460.7562923616729</v>
      </c>
      <c r="D323" s="6">
        <f t="shared" si="25"/>
        <v>4596.0970880517561</v>
      </c>
      <c r="E323" s="6">
        <f t="shared" si="28"/>
        <v>-2135.3407956900828</v>
      </c>
      <c r="F323" s="6">
        <f t="shared" si="29"/>
        <v>-458119.80590718437</v>
      </c>
      <c r="G323" s="6"/>
    </row>
    <row r="324" spans="1:7" x14ac:dyDescent="0.25">
      <c r="A324" s="2">
        <f t="shared" ca="1" si="26"/>
        <v>53083</v>
      </c>
      <c r="B324">
        <f t="shared" si="27"/>
        <v>315</v>
      </c>
      <c r="C324" s="6">
        <f t="shared" si="24"/>
        <v>2460.7562923616729</v>
      </c>
      <c r="D324" s="6">
        <f t="shared" si="25"/>
        <v>4617.7370451746665</v>
      </c>
      <c r="E324" s="6">
        <f t="shared" si="28"/>
        <v>-2156.9807528129932</v>
      </c>
      <c r="F324" s="6">
        <f t="shared" si="29"/>
        <v>-462737.54295235901</v>
      </c>
      <c r="G324" s="6"/>
    </row>
    <row r="325" spans="1:7" x14ac:dyDescent="0.25">
      <c r="A325" s="2">
        <f t="shared" ca="1" si="26"/>
        <v>53114</v>
      </c>
      <c r="B325">
        <f t="shared" si="27"/>
        <v>316</v>
      </c>
      <c r="C325" s="6">
        <f t="shared" si="24"/>
        <v>2460.7562923616729</v>
      </c>
      <c r="D325" s="6">
        <f t="shared" si="25"/>
        <v>4639.4788904290299</v>
      </c>
      <c r="E325" s="6">
        <f t="shared" si="28"/>
        <v>-2178.722598067357</v>
      </c>
      <c r="F325" s="6">
        <f t="shared" si="29"/>
        <v>-467377.02184278803</v>
      </c>
      <c r="G325" s="6"/>
    </row>
    <row r="326" spans="1:7" x14ac:dyDescent="0.25">
      <c r="A326" s="2">
        <f t="shared" ca="1" si="26"/>
        <v>53144</v>
      </c>
      <c r="B326">
        <f t="shared" si="27"/>
        <v>317</v>
      </c>
      <c r="C326" s="6">
        <f t="shared" si="24"/>
        <v>2460.7562923616729</v>
      </c>
      <c r="D326" s="6">
        <f t="shared" si="25"/>
        <v>4661.3231035381332</v>
      </c>
      <c r="E326" s="6">
        <f t="shared" si="28"/>
        <v>-2200.5668111764603</v>
      </c>
      <c r="F326" s="6">
        <f t="shared" si="29"/>
        <v>-472038.34494632616</v>
      </c>
      <c r="G326" s="6"/>
    </row>
    <row r="327" spans="1:7" x14ac:dyDescent="0.25">
      <c r="A327" s="2">
        <f t="shared" ca="1" si="26"/>
        <v>53175</v>
      </c>
      <c r="B327">
        <f t="shared" si="27"/>
        <v>318</v>
      </c>
      <c r="C327" s="6">
        <f t="shared" si="24"/>
        <v>2460.7562923616729</v>
      </c>
      <c r="D327" s="6">
        <f t="shared" si="25"/>
        <v>4683.2701664839587</v>
      </c>
      <c r="E327" s="6">
        <f t="shared" si="28"/>
        <v>-2222.5138741222859</v>
      </c>
      <c r="F327" s="6">
        <f t="shared" si="29"/>
        <v>-476721.6151128101</v>
      </c>
      <c r="G327" s="6"/>
    </row>
    <row r="328" spans="1:7" x14ac:dyDescent="0.25">
      <c r="A328" s="2">
        <f t="shared" ca="1" si="26"/>
        <v>53206</v>
      </c>
      <c r="B328">
        <f t="shared" si="27"/>
        <v>319</v>
      </c>
      <c r="C328" s="6">
        <f t="shared" si="24"/>
        <v>2460.7562923616729</v>
      </c>
      <c r="D328" s="6">
        <f t="shared" si="25"/>
        <v>4705.3205635178201</v>
      </c>
      <c r="E328" s="6">
        <f t="shared" si="28"/>
        <v>-2244.5642711561477</v>
      </c>
      <c r="F328" s="6">
        <f t="shared" si="29"/>
        <v>-481426.93567632791</v>
      </c>
      <c r="G328" s="6"/>
    </row>
    <row r="329" spans="1:7" x14ac:dyDescent="0.25">
      <c r="A329" s="2">
        <f t="shared" ca="1" si="26"/>
        <v>53236</v>
      </c>
      <c r="B329">
        <f t="shared" si="27"/>
        <v>320</v>
      </c>
      <c r="C329" s="6">
        <f t="shared" si="24"/>
        <v>2460.7562923616729</v>
      </c>
      <c r="D329" s="6">
        <f t="shared" si="25"/>
        <v>4727.4747811710504</v>
      </c>
      <c r="E329" s="6">
        <f t="shared" si="28"/>
        <v>-2266.7184888093775</v>
      </c>
      <c r="F329" s="6">
        <f t="shared" si="29"/>
        <v>-486154.41045749898</v>
      </c>
      <c r="G329" s="6"/>
    </row>
    <row r="330" spans="1:7" x14ac:dyDescent="0.25">
      <c r="A330" s="2">
        <f t="shared" ca="1" si="26"/>
        <v>53267</v>
      </c>
      <c r="B330">
        <f t="shared" si="27"/>
        <v>321</v>
      </c>
      <c r="C330" s="6">
        <f t="shared" si="24"/>
        <v>2460.7562923616729</v>
      </c>
      <c r="D330" s="6">
        <f t="shared" si="25"/>
        <v>4749.7333082657306</v>
      </c>
      <c r="E330" s="6">
        <f t="shared" si="28"/>
        <v>-2288.9770159040577</v>
      </c>
      <c r="F330" s="6">
        <f t="shared" si="29"/>
        <v>-490904.14376576472</v>
      </c>
      <c r="G330" s="6"/>
    </row>
    <row r="331" spans="1:7" x14ac:dyDescent="0.25">
      <c r="A331" s="2">
        <f t="shared" ca="1" si="26"/>
        <v>53297</v>
      </c>
      <c r="B331">
        <f t="shared" si="27"/>
        <v>322</v>
      </c>
      <c r="C331" s="6">
        <f t="shared" ref="C331:C369" si="30">-PMT($C$4/12,$C$5,$C$3,0)</f>
        <v>2460.7562923616729</v>
      </c>
      <c r="D331" s="6">
        <f t="shared" ref="D331:D369" si="31">C331-E331</f>
        <v>4772.0966359254817</v>
      </c>
      <c r="E331" s="6">
        <f t="shared" si="28"/>
        <v>-2311.3403435638088</v>
      </c>
      <c r="F331" s="6">
        <f t="shared" si="29"/>
        <v>-495676.24040169019</v>
      </c>
      <c r="G331" s="6"/>
    </row>
    <row r="332" spans="1:7" x14ac:dyDescent="0.25">
      <c r="A332" s="2">
        <f t="shared" ref="A332:A369" ca="1" si="32">DATE(YEAR(A331),MONTH(A331)+1,1)</f>
        <v>53328</v>
      </c>
      <c r="B332">
        <f t="shared" ref="B332:B369" si="33">B331+1</f>
        <v>323</v>
      </c>
      <c r="C332" s="6">
        <f t="shared" si="30"/>
        <v>2460.7562923616729</v>
      </c>
      <c r="D332" s="6">
        <f t="shared" si="31"/>
        <v>4794.5652575862978</v>
      </c>
      <c r="E332" s="6">
        <f t="shared" ref="E332:E369" si="34">($C$4/12)*F331</f>
        <v>-2333.8089652246249</v>
      </c>
      <c r="F332" s="6">
        <f t="shared" si="29"/>
        <v>-500470.80565927649</v>
      </c>
      <c r="G332" s="6"/>
    </row>
    <row r="333" spans="1:7" x14ac:dyDescent="0.25">
      <c r="A333" s="2">
        <f t="shared" ca="1" si="32"/>
        <v>53359</v>
      </c>
      <c r="B333">
        <f t="shared" si="33"/>
        <v>324</v>
      </c>
      <c r="C333" s="6">
        <f t="shared" si="30"/>
        <v>2460.7562923616729</v>
      </c>
      <c r="D333" s="6">
        <f t="shared" si="31"/>
        <v>4817.1396690074325</v>
      </c>
      <c r="E333" s="6">
        <f t="shared" si="34"/>
        <v>-2356.3833766457601</v>
      </c>
      <c r="F333" s="6">
        <f t="shared" si="29"/>
        <v>-505287.94532828394</v>
      </c>
      <c r="G333" s="6"/>
    </row>
    <row r="334" spans="1:7" x14ac:dyDescent="0.25">
      <c r="A334" s="2">
        <f t="shared" ca="1" si="32"/>
        <v>53387</v>
      </c>
      <c r="B334">
        <f t="shared" si="33"/>
        <v>325</v>
      </c>
      <c r="C334" s="6">
        <f t="shared" si="30"/>
        <v>2460.7562923616729</v>
      </c>
      <c r="D334" s="6">
        <f t="shared" si="31"/>
        <v>4839.8203682823432</v>
      </c>
      <c r="E334" s="6">
        <f t="shared" si="34"/>
        <v>-2379.0640759206703</v>
      </c>
      <c r="F334" s="6">
        <f t="shared" ref="F334:F369" si="35">F333-D334</f>
        <v>-510127.76569656626</v>
      </c>
      <c r="G334" s="6"/>
    </row>
    <row r="335" spans="1:7" x14ac:dyDescent="0.25">
      <c r="A335" s="2">
        <f t="shared" ca="1" si="32"/>
        <v>53418</v>
      </c>
      <c r="B335">
        <f t="shared" si="33"/>
        <v>326</v>
      </c>
      <c r="C335" s="6">
        <f t="shared" si="30"/>
        <v>2460.7562923616729</v>
      </c>
      <c r="D335" s="6">
        <f t="shared" si="31"/>
        <v>4862.607855849672</v>
      </c>
      <c r="E335" s="6">
        <f t="shared" si="34"/>
        <v>-2401.8515634879996</v>
      </c>
      <c r="F335" s="6">
        <f t="shared" si="35"/>
        <v>-514990.37355241593</v>
      </c>
      <c r="G335" s="6"/>
    </row>
    <row r="336" spans="1:7" x14ac:dyDescent="0.25">
      <c r="A336" s="2">
        <f t="shared" ca="1" si="32"/>
        <v>53448</v>
      </c>
      <c r="B336">
        <f t="shared" si="33"/>
        <v>327</v>
      </c>
      <c r="C336" s="6">
        <f t="shared" si="30"/>
        <v>2460.7562923616729</v>
      </c>
      <c r="D336" s="6">
        <f t="shared" si="31"/>
        <v>4885.5026345042979</v>
      </c>
      <c r="E336" s="6">
        <f t="shared" si="34"/>
        <v>-2424.7463421426251</v>
      </c>
      <c r="F336" s="6">
        <f t="shared" si="35"/>
        <v>-519875.87618692021</v>
      </c>
      <c r="G336" s="6"/>
    </row>
    <row r="337" spans="1:7" x14ac:dyDescent="0.25">
      <c r="A337" s="2">
        <f t="shared" ca="1" si="32"/>
        <v>53479</v>
      </c>
      <c r="B337">
        <f t="shared" si="33"/>
        <v>328</v>
      </c>
      <c r="C337" s="6">
        <f t="shared" si="30"/>
        <v>2460.7562923616729</v>
      </c>
      <c r="D337" s="6">
        <f t="shared" si="31"/>
        <v>4908.5052094084222</v>
      </c>
      <c r="E337" s="6">
        <f t="shared" si="34"/>
        <v>-2447.7489170467493</v>
      </c>
      <c r="F337" s="6">
        <f t="shared" si="35"/>
        <v>-524784.38139632868</v>
      </c>
      <c r="G337" s="6"/>
    </row>
    <row r="338" spans="1:7" x14ac:dyDescent="0.25">
      <c r="A338" s="2">
        <f t="shared" ca="1" si="32"/>
        <v>53509</v>
      </c>
      <c r="B338">
        <f t="shared" si="33"/>
        <v>329</v>
      </c>
      <c r="C338" s="6">
        <f t="shared" si="30"/>
        <v>2460.7562923616729</v>
      </c>
      <c r="D338" s="6">
        <f t="shared" si="31"/>
        <v>4931.6160881027208</v>
      </c>
      <c r="E338" s="6">
        <f t="shared" si="34"/>
        <v>-2470.8597957410475</v>
      </c>
      <c r="F338" s="6">
        <f t="shared" si="35"/>
        <v>-529715.99748443137</v>
      </c>
      <c r="G338" s="6"/>
    </row>
    <row r="339" spans="1:7" x14ac:dyDescent="0.25">
      <c r="A339" s="2">
        <f t="shared" ca="1" si="32"/>
        <v>53540</v>
      </c>
      <c r="B339">
        <f t="shared" si="33"/>
        <v>330</v>
      </c>
      <c r="C339" s="6">
        <f t="shared" si="30"/>
        <v>2460.7562923616729</v>
      </c>
      <c r="D339" s="6">
        <f t="shared" si="31"/>
        <v>4954.8357805175374</v>
      </c>
      <c r="E339" s="6">
        <f t="shared" si="34"/>
        <v>-2494.0794881558645</v>
      </c>
      <c r="F339" s="6">
        <f t="shared" si="35"/>
        <v>-534670.83326494892</v>
      </c>
      <c r="G339" s="6"/>
    </row>
    <row r="340" spans="1:7" x14ac:dyDescent="0.25">
      <c r="A340" s="2">
        <f t="shared" ca="1" si="32"/>
        <v>53571</v>
      </c>
      <c r="B340">
        <f t="shared" si="33"/>
        <v>331</v>
      </c>
      <c r="C340" s="6">
        <f t="shared" si="30"/>
        <v>2460.7562923616729</v>
      </c>
      <c r="D340" s="6">
        <f t="shared" si="31"/>
        <v>4978.1647989841404</v>
      </c>
      <c r="E340" s="6">
        <f t="shared" si="34"/>
        <v>-2517.4085066224679</v>
      </c>
      <c r="F340" s="6">
        <f t="shared" si="35"/>
        <v>-539648.9980639331</v>
      </c>
      <c r="G340" s="6"/>
    </row>
    <row r="341" spans="1:7" x14ac:dyDescent="0.25">
      <c r="A341" s="2">
        <f t="shared" ca="1" si="32"/>
        <v>53601</v>
      </c>
      <c r="B341">
        <f t="shared" si="33"/>
        <v>332</v>
      </c>
      <c r="C341" s="6">
        <f t="shared" si="30"/>
        <v>2460.7562923616729</v>
      </c>
      <c r="D341" s="6">
        <f t="shared" si="31"/>
        <v>5001.6036582460247</v>
      </c>
      <c r="E341" s="6">
        <f t="shared" si="34"/>
        <v>-2540.8473658843518</v>
      </c>
      <c r="F341" s="6">
        <f t="shared" si="35"/>
        <v>-544650.6017221791</v>
      </c>
      <c r="G341" s="6"/>
    </row>
    <row r="342" spans="1:7" x14ac:dyDescent="0.25">
      <c r="A342" s="2">
        <f t="shared" ca="1" si="32"/>
        <v>53632</v>
      </c>
      <c r="B342">
        <f t="shared" si="33"/>
        <v>333</v>
      </c>
      <c r="C342" s="6">
        <f t="shared" si="30"/>
        <v>2460.7562923616729</v>
      </c>
      <c r="D342" s="6">
        <f t="shared" si="31"/>
        <v>5025.1528754702667</v>
      </c>
      <c r="E342" s="6">
        <f t="shared" si="34"/>
        <v>-2564.3965831085934</v>
      </c>
      <c r="F342" s="6">
        <f t="shared" si="35"/>
        <v>-549675.75459764933</v>
      </c>
      <c r="G342" s="6"/>
    </row>
    <row r="343" spans="1:7" x14ac:dyDescent="0.25">
      <c r="A343" s="2">
        <f t="shared" ca="1" si="32"/>
        <v>53662</v>
      </c>
      <c r="B343">
        <f t="shared" si="33"/>
        <v>334</v>
      </c>
      <c r="C343" s="6">
        <f t="shared" si="30"/>
        <v>2460.7562923616729</v>
      </c>
      <c r="D343" s="6">
        <f t="shared" si="31"/>
        <v>5048.8129702589385</v>
      </c>
      <c r="E343" s="6">
        <f t="shared" si="34"/>
        <v>-2588.0566778972657</v>
      </c>
      <c r="F343" s="6">
        <f t="shared" si="35"/>
        <v>-554724.56756790832</v>
      </c>
      <c r="G343" s="6"/>
    </row>
    <row r="344" spans="1:7" x14ac:dyDescent="0.25">
      <c r="A344" s="2">
        <f t="shared" ca="1" si="32"/>
        <v>53693</v>
      </c>
      <c r="B344">
        <f t="shared" si="33"/>
        <v>335</v>
      </c>
      <c r="C344" s="6">
        <f t="shared" si="30"/>
        <v>2460.7562923616729</v>
      </c>
      <c r="D344" s="6">
        <f t="shared" si="31"/>
        <v>5072.5844646605747</v>
      </c>
      <c r="E344" s="6">
        <f t="shared" si="34"/>
        <v>-2611.8281722989018</v>
      </c>
      <c r="F344" s="6">
        <f t="shared" si="35"/>
        <v>-559797.15203256893</v>
      </c>
      <c r="G344" s="6"/>
    </row>
    <row r="345" spans="1:7" x14ac:dyDescent="0.25">
      <c r="A345" s="2">
        <f t="shared" ca="1" si="32"/>
        <v>53724</v>
      </c>
      <c r="B345">
        <f t="shared" si="33"/>
        <v>336</v>
      </c>
      <c r="C345" s="6">
        <f t="shared" si="30"/>
        <v>2460.7562923616729</v>
      </c>
      <c r="D345" s="6">
        <f t="shared" si="31"/>
        <v>5096.4678831816855</v>
      </c>
      <c r="E345" s="6">
        <f t="shared" si="34"/>
        <v>-2635.7115908200121</v>
      </c>
      <c r="F345" s="6">
        <f t="shared" si="35"/>
        <v>-564893.61991575058</v>
      </c>
      <c r="G345" s="6"/>
    </row>
    <row r="346" spans="1:7" x14ac:dyDescent="0.25">
      <c r="A346" s="2">
        <f t="shared" ca="1" si="32"/>
        <v>53752</v>
      </c>
      <c r="B346">
        <f t="shared" si="33"/>
        <v>337</v>
      </c>
      <c r="C346" s="6">
        <f t="shared" si="30"/>
        <v>2460.7562923616729</v>
      </c>
      <c r="D346" s="6">
        <f t="shared" si="31"/>
        <v>5120.4637527983323</v>
      </c>
      <c r="E346" s="6">
        <f t="shared" si="34"/>
        <v>-2659.7074604366589</v>
      </c>
      <c r="F346" s="6">
        <f t="shared" si="35"/>
        <v>-570014.08366854896</v>
      </c>
      <c r="G346" s="6"/>
    </row>
    <row r="347" spans="1:7" x14ac:dyDescent="0.25">
      <c r="A347" s="2">
        <f t="shared" ca="1" si="32"/>
        <v>53783</v>
      </c>
      <c r="B347">
        <f t="shared" si="33"/>
        <v>338</v>
      </c>
      <c r="C347" s="6">
        <f t="shared" si="30"/>
        <v>2460.7562923616729</v>
      </c>
      <c r="D347" s="6">
        <f t="shared" si="31"/>
        <v>5144.5726029677571</v>
      </c>
      <c r="E347" s="6">
        <f t="shared" si="34"/>
        <v>-2683.8163106060847</v>
      </c>
      <c r="F347" s="6">
        <f t="shared" si="35"/>
        <v>-575158.65627151669</v>
      </c>
      <c r="G347" s="6"/>
    </row>
    <row r="348" spans="1:7" x14ac:dyDescent="0.25">
      <c r="A348" s="2">
        <f t="shared" ca="1" si="32"/>
        <v>53813</v>
      </c>
      <c r="B348">
        <f t="shared" si="33"/>
        <v>339</v>
      </c>
      <c r="C348" s="6">
        <f t="shared" si="30"/>
        <v>2460.7562923616729</v>
      </c>
      <c r="D348" s="6">
        <f t="shared" si="31"/>
        <v>5168.7949656400642</v>
      </c>
      <c r="E348" s="6">
        <f t="shared" si="34"/>
        <v>-2708.0386732783913</v>
      </c>
      <c r="F348" s="6">
        <f t="shared" si="35"/>
        <v>-580327.45123715675</v>
      </c>
      <c r="G348" s="6"/>
    </row>
    <row r="349" spans="1:7" x14ac:dyDescent="0.25">
      <c r="A349" s="2">
        <f t="shared" ca="1" si="32"/>
        <v>53844</v>
      </c>
      <c r="B349">
        <f t="shared" si="33"/>
        <v>340</v>
      </c>
      <c r="C349" s="6">
        <f t="shared" si="30"/>
        <v>2460.7562923616729</v>
      </c>
      <c r="D349" s="6">
        <f t="shared" si="31"/>
        <v>5193.1313752699525</v>
      </c>
      <c r="E349" s="6">
        <f t="shared" si="34"/>
        <v>-2732.3750829082796</v>
      </c>
      <c r="F349" s="6">
        <f t="shared" si="35"/>
        <v>-585520.58261242672</v>
      </c>
      <c r="G349" s="6"/>
    </row>
    <row r="350" spans="1:7" x14ac:dyDescent="0.25">
      <c r="A350" s="2">
        <f t="shared" ca="1" si="32"/>
        <v>53874</v>
      </c>
      <c r="B350">
        <f t="shared" si="33"/>
        <v>341</v>
      </c>
      <c r="C350" s="6">
        <f t="shared" si="30"/>
        <v>2460.7562923616729</v>
      </c>
      <c r="D350" s="6">
        <f t="shared" si="31"/>
        <v>5217.5823688285154</v>
      </c>
      <c r="E350" s="6">
        <f t="shared" si="34"/>
        <v>-2756.8260764668426</v>
      </c>
      <c r="F350" s="6">
        <f t="shared" si="35"/>
        <v>-590738.16498125519</v>
      </c>
      <c r="G350" s="6"/>
    </row>
    <row r="351" spans="1:7" x14ac:dyDescent="0.25">
      <c r="A351" s="2">
        <f t="shared" ca="1" si="32"/>
        <v>53905</v>
      </c>
      <c r="B351">
        <f t="shared" si="33"/>
        <v>342</v>
      </c>
      <c r="C351" s="6">
        <f t="shared" si="30"/>
        <v>2460.7562923616729</v>
      </c>
      <c r="D351" s="6">
        <f t="shared" si="31"/>
        <v>5242.1484858150834</v>
      </c>
      <c r="E351" s="6">
        <f t="shared" si="34"/>
        <v>-2781.3921934534101</v>
      </c>
      <c r="F351" s="6">
        <f t="shared" si="35"/>
        <v>-595980.31346707023</v>
      </c>
      <c r="G351" s="6"/>
    </row>
    <row r="352" spans="1:7" x14ac:dyDescent="0.25">
      <c r="A352" s="2">
        <f t="shared" ca="1" si="32"/>
        <v>53936</v>
      </c>
      <c r="B352">
        <f t="shared" si="33"/>
        <v>343</v>
      </c>
      <c r="C352" s="6">
        <f t="shared" si="30"/>
        <v>2460.7562923616729</v>
      </c>
      <c r="D352" s="6">
        <f t="shared" si="31"/>
        <v>5266.8302682691283</v>
      </c>
      <c r="E352" s="6">
        <f t="shared" si="34"/>
        <v>-2806.0739759074559</v>
      </c>
      <c r="F352" s="6">
        <f t="shared" si="35"/>
        <v>-601247.1437353394</v>
      </c>
      <c r="G352" s="6"/>
    </row>
    <row r="353" spans="1:7" x14ac:dyDescent="0.25">
      <c r="A353" s="2">
        <f t="shared" ca="1" si="32"/>
        <v>53966</v>
      </c>
      <c r="B353">
        <f t="shared" si="33"/>
        <v>344</v>
      </c>
      <c r="C353" s="6">
        <f t="shared" si="30"/>
        <v>2460.7562923616729</v>
      </c>
      <c r="D353" s="6">
        <f t="shared" si="31"/>
        <v>5291.6282607822295</v>
      </c>
      <c r="E353" s="6">
        <f t="shared" si="34"/>
        <v>-2830.8719684205566</v>
      </c>
      <c r="F353" s="6">
        <f t="shared" si="35"/>
        <v>-606538.77199612162</v>
      </c>
      <c r="G353" s="6"/>
    </row>
    <row r="354" spans="1:7" x14ac:dyDescent="0.25">
      <c r="A354" s="2">
        <f t="shared" ca="1" si="32"/>
        <v>53997</v>
      </c>
      <c r="B354">
        <f t="shared" si="33"/>
        <v>345</v>
      </c>
      <c r="C354" s="6">
        <f t="shared" si="30"/>
        <v>2460.7562923616729</v>
      </c>
      <c r="D354" s="6">
        <f t="shared" si="31"/>
        <v>5316.5430105100786</v>
      </c>
      <c r="E354" s="6">
        <f t="shared" si="34"/>
        <v>-2855.7867181484062</v>
      </c>
      <c r="F354" s="6">
        <f t="shared" si="35"/>
        <v>-611855.31500663166</v>
      </c>
      <c r="G354" s="6"/>
    </row>
    <row r="355" spans="1:7" x14ac:dyDescent="0.25">
      <c r="A355" s="2">
        <f t="shared" ca="1" si="32"/>
        <v>54027</v>
      </c>
      <c r="B355">
        <f t="shared" si="33"/>
        <v>346</v>
      </c>
      <c r="C355" s="6">
        <f t="shared" si="30"/>
        <v>2460.7562923616729</v>
      </c>
      <c r="D355" s="6">
        <f t="shared" si="31"/>
        <v>5341.5750671845635</v>
      </c>
      <c r="E355" s="6">
        <f t="shared" si="34"/>
        <v>-2880.8187748228906</v>
      </c>
      <c r="F355" s="6">
        <f t="shared" si="35"/>
        <v>-617196.89007381618</v>
      </c>
      <c r="G355" s="6"/>
    </row>
    <row r="356" spans="1:7" x14ac:dyDescent="0.25">
      <c r="A356" s="2">
        <f t="shared" ca="1" si="32"/>
        <v>54058</v>
      </c>
      <c r="B356">
        <f t="shared" si="33"/>
        <v>347</v>
      </c>
      <c r="C356" s="6">
        <f t="shared" si="30"/>
        <v>2460.7562923616729</v>
      </c>
      <c r="D356" s="6">
        <f t="shared" si="31"/>
        <v>5366.7249831258905</v>
      </c>
      <c r="E356" s="6">
        <f t="shared" si="34"/>
        <v>-2905.9686907642181</v>
      </c>
      <c r="F356" s="6">
        <f t="shared" si="35"/>
        <v>-622563.6150569421</v>
      </c>
      <c r="G356" s="6"/>
    </row>
    <row r="357" spans="1:7" x14ac:dyDescent="0.25">
      <c r="A357" s="2">
        <f t="shared" ca="1" si="32"/>
        <v>54089</v>
      </c>
      <c r="B357">
        <f t="shared" si="33"/>
        <v>348</v>
      </c>
      <c r="C357" s="6">
        <f t="shared" si="30"/>
        <v>2460.7562923616729</v>
      </c>
      <c r="D357" s="6">
        <f t="shared" si="31"/>
        <v>5391.9933132547758</v>
      </c>
      <c r="E357" s="6">
        <f t="shared" si="34"/>
        <v>-2931.2370208931025</v>
      </c>
      <c r="F357" s="6">
        <f t="shared" si="35"/>
        <v>-627955.60837019689</v>
      </c>
      <c r="G357" s="6"/>
    </row>
    <row r="358" spans="1:7" x14ac:dyDescent="0.25">
      <c r="A358" s="2">
        <f t="shared" ca="1" si="32"/>
        <v>54118</v>
      </c>
      <c r="B358">
        <f t="shared" si="33"/>
        <v>349</v>
      </c>
      <c r="C358" s="6">
        <f t="shared" si="30"/>
        <v>2460.7562923616729</v>
      </c>
      <c r="D358" s="6">
        <f t="shared" si="31"/>
        <v>5417.3806151046829</v>
      </c>
      <c r="E358" s="6">
        <f t="shared" si="34"/>
        <v>-2956.6243227430105</v>
      </c>
      <c r="F358" s="6">
        <f t="shared" si="35"/>
        <v>-633372.98898530158</v>
      </c>
      <c r="G358" s="6"/>
    </row>
    <row r="359" spans="1:7" x14ac:dyDescent="0.25">
      <c r="A359" s="2">
        <f t="shared" ca="1" si="32"/>
        <v>54149</v>
      </c>
      <c r="B359">
        <f t="shared" si="33"/>
        <v>350</v>
      </c>
      <c r="C359" s="6">
        <f t="shared" si="30"/>
        <v>2460.7562923616729</v>
      </c>
      <c r="D359" s="6">
        <f t="shared" si="31"/>
        <v>5442.8874488341344</v>
      </c>
      <c r="E359" s="6">
        <f t="shared" si="34"/>
        <v>-2982.1311564724615</v>
      </c>
      <c r="F359" s="6">
        <f t="shared" si="35"/>
        <v>-638815.87643413572</v>
      </c>
      <c r="G359" s="6"/>
    </row>
    <row r="360" spans="1:7" x14ac:dyDescent="0.25">
      <c r="A360" s="2">
        <f t="shared" ca="1" si="32"/>
        <v>54179</v>
      </c>
      <c r="B360">
        <f t="shared" si="33"/>
        <v>351</v>
      </c>
      <c r="C360" s="6">
        <f t="shared" si="30"/>
        <v>2460.7562923616729</v>
      </c>
      <c r="D360" s="6">
        <f t="shared" si="31"/>
        <v>5468.514377239062</v>
      </c>
      <c r="E360" s="6">
        <f t="shared" si="34"/>
        <v>-3007.7580848773891</v>
      </c>
      <c r="F360" s="6">
        <f t="shared" si="35"/>
        <v>-644284.39081137476</v>
      </c>
      <c r="G360" s="6"/>
    </row>
    <row r="361" spans="1:7" x14ac:dyDescent="0.25">
      <c r="A361" s="2">
        <f t="shared" ca="1" si="32"/>
        <v>54210</v>
      </c>
      <c r="B361">
        <f t="shared" si="33"/>
        <v>352</v>
      </c>
      <c r="C361" s="6">
        <f t="shared" si="30"/>
        <v>2460.7562923616729</v>
      </c>
      <c r="D361" s="6">
        <f t="shared" si="31"/>
        <v>5494.2619657652285</v>
      </c>
      <c r="E361" s="6">
        <f t="shared" si="34"/>
        <v>-3033.5056734035561</v>
      </c>
      <c r="F361" s="6">
        <f t="shared" si="35"/>
        <v>-649778.65277714003</v>
      </c>
      <c r="G361" s="6"/>
    </row>
    <row r="362" spans="1:7" x14ac:dyDescent="0.25">
      <c r="A362" s="2">
        <f t="shared" ca="1" si="32"/>
        <v>54240</v>
      </c>
      <c r="B362">
        <f t="shared" si="33"/>
        <v>353</v>
      </c>
      <c r="C362" s="6">
        <f t="shared" si="30"/>
        <v>2460.7562923616729</v>
      </c>
      <c r="D362" s="6">
        <f t="shared" si="31"/>
        <v>5520.1307825207077</v>
      </c>
      <c r="E362" s="6">
        <f t="shared" si="34"/>
        <v>-3059.3744901590344</v>
      </c>
      <c r="F362" s="6">
        <f t="shared" si="35"/>
        <v>-655298.78355966078</v>
      </c>
      <c r="G362" s="6"/>
    </row>
    <row r="363" spans="1:7" x14ac:dyDescent="0.25">
      <c r="A363" s="2">
        <f t="shared" ca="1" si="32"/>
        <v>54271</v>
      </c>
      <c r="B363">
        <f t="shared" si="33"/>
        <v>354</v>
      </c>
      <c r="C363" s="6">
        <f t="shared" si="30"/>
        <v>2460.7562923616729</v>
      </c>
      <c r="D363" s="6">
        <f t="shared" si="31"/>
        <v>5546.1213982884092</v>
      </c>
      <c r="E363" s="6">
        <f t="shared" si="34"/>
        <v>-3085.3651059267363</v>
      </c>
      <c r="F363" s="6">
        <f t="shared" si="35"/>
        <v>-660844.90495794918</v>
      </c>
      <c r="G363" s="6"/>
    </row>
    <row r="364" spans="1:7" x14ac:dyDescent="0.25">
      <c r="A364" s="2">
        <f t="shared" ca="1" si="32"/>
        <v>54302</v>
      </c>
      <c r="B364">
        <f t="shared" si="33"/>
        <v>355</v>
      </c>
      <c r="C364" s="6">
        <f t="shared" si="30"/>
        <v>2460.7562923616729</v>
      </c>
      <c r="D364" s="6">
        <f t="shared" si="31"/>
        <v>5572.2343865386838</v>
      </c>
      <c r="E364" s="6">
        <f t="shared" si="34"/>
        <v>-3111.4780941770109</v>
      </c>
      <c r="F364" s="6">
        <f t="shared" si="35"/>
        <v>-666417.13934448792</v>
      </c>
      <c r="G364" s="6"/>
    </row>
    <row r="365" spans="1:7" x14ac:dyDescent="0.25">
      <c r="A365" s="2">
        <f t="shared" ca="1" si="32"/>
        <v>54332</v>
      </c>
      <c r="B365">
        <f t="shared" si="33"/>
        <v>356</v>
      </c>
      <c r="C365" s="6">
        <f t="shared" si="30"/>
        <v>2460.7562923616729</v>
      </c>
      <c r="D365" s="6">
        <f t="shared" si="31"/>
        <v>5598.4703234419703</v>
      </c>
      <c r="E365" s="6">
        <f t="shared" si="34"/>
        <v>-3137.7140310802974</v>
      </c>
      <c r="F365" s="6">
        <f t="shared" si="35"/>
        <v>-672015.60966792994</v>
      </c>
      <c r="G365" s="6"/>
    </row>
    <row r="366" spans="1:7" x14ac:dyDescent="0.25">
      <c r="A366" s="2">
        <f t="shared" ca="1" si="32"/>
        <v>54363</v>
      </c>
      <c r="B366">
        <f t="shared" si="33"/>
        <v>357</v>
      </c>
      <c r="C366" s="6">
        <f t="shared" si="30"/>
        <v>2460.7562923616729</v>
      </c>
      <c r="D366" s="6">
        <f t="shared" si="31"/>
        <v>5624.8297878815101</v>
      </c>
      <c r="E366" s="6">
        <f t="shared" si="34"/>
        <v>-3164.0734955198368</v>
      </c>
      <c r="F366" s="6">
        <f t="shared" si="35"/>
        <v>-677640.4394558114</v>
      </c>
      <c r="G366" s="6"/>
    </row>
    <row r="367" spans="1:7" x14ac:dyDescent="0.25">
      <c r="A367" s="2">
        <f t="shared" ca="1" si="32"/>
        <v>54393</v>
      </c>
      <c r="B367">
        <f t="shared" si="33"/>
        <v>358</v>
      </c>
      <c r="C367" s="6">
        <f t="shared" si="30"/>
        <v>2460.7562923616729</v>
      </c>
      <c r="D367" s="6">
        <f t="shared" si="31"/>
        <v>5651.3133614661183</v>
      </c>
      <c r="E367" s="6">
        <f t="shared" si="34"/>
        <v>-3190.5570691044454</v>
      </c>
      <c r="F367" s="6">
        <f t="shared" si="35"/>
        <v>-683291.75281727756</v>
      </c>
      <c r="G367" s="6"/>
    </row>
    <row r="368" spans="1:7" x14ac:dyDescent="0.25">
      <c r="A368" s="2">
        <f t="shared" ca="1" si="32"/>
        <v>54424</v>
      </c>
      <c r="B368">
        <f t="shared" si="33"/>
        <v>359</v>
      </c>
      <c r="C368" s="6">
        <f t="shared" si="30"/>
        <v>2460.7562923616729</v>
      </c>
      <c r="D368" s="6">
        <f t="shared" si="31"/>
        <v>5677.9216285430211</v>
      </c>
      <c r="E368" s="6">
        <f t="shared" si="34"/>
        <v>-3217.1653361813487</v>
      </c>
      <c r="F368" s="6">
        <f t="shared" si="35"/>
        <v>-688969.67444582062</v>
      </c>
      <c r="G368" s="6"/>
    </row>
    <row r="369" spans="1:7" x14ac:dyDescent="0.25">
      <c r="A369" s="2">
        <f t="shared" ca="1" si="32"/>
        <v>54455</v>
      </c>
      <c r="B369">
        <f t="shared" si="33"/>
        <v>360</v>
      </c>
      <c r="C369" s="6">
        <f t="shared" si="30"/>
        <v>2460.7562923616729</v>
      </c>
      <c r="D369" s="6">
        <f t="shared" si="31"/>
        <v>5704.6551762107447</v>
      </c>
      <c r="E369" s="6">
        <f t="shared" si="34"/>
        <v>-3243.8988838490723</v>
      </c>
      <c r="F369" s="6">
        <f t="shared" si="35"/>
        <v>-694674.32962203142</v>
      </c>
      <c r="G369" s="6"/>
    </row>
    <row r="370" spans="1:7" x14ac:dyDescent="0.25">
      <c r="A370" s="2"/>
    </row>
  </sheetData>
  <phoneticPr fontId="0" type="noConversion"/>
  <printOptions gridLinesSet="0"/>
  <pageMargins left="0.75" right="0.75" top="1" bottom="1" header="0.5" footer="0.5"/>
  <headerFooter alignWithMargins="0">
    <oddHeader>&amp;A</oddHeader>
    <oddFooter>Page &amp;P</oddFooter>
  </headerFooter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Параметры</vt:lpstr>
      <vt:lpstr>Выплаты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mortgage loan.xlsx</dc:title>
  <dc:subject>'Excel 2010 Bible' Example File</dc:subject>
  <dc:creator>John Walkenbach</dc:creator>
  <cp:keywords> </cp:keywords>
  <dc:description>©2010, John Walkenbach. All Rights Reserved.</dc:description>
  <cp:lastModifiedBy>Admin</cp:lastModifiedBy>
  <dcterms:created xsi:type="dcterms:W3CDTF">1998-09-30T16:26:14Z</dcterms:created>
  <dcterms:modified xsi:type="dcterms:W3CDTF">2019-03-20T15:23:38Z</dcterms:modified>
  <cp:category>Excel 2010 Bible</cp:category>
</cp:coreProperties>
</file>