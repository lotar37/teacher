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T:\"/>
    </mc:Choice>
  </mc:AlternateContent>
  <xr:revisionPtr revIDLastSave="0" documentId="13_ncr:1_{FF77511E-5DB0-4B29-987C-5FC46FDD1C35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Лист1" sheetId="1" r:id="rId1"/>
  </sheets>
  <functionGroups builtInGroupCount="19"/>
  <definedNames>
    <definedName name="Данные">Лист1!$O$3:$O$23</definedName>
  </definedNames>
  <calcPr calcId="191029"/>
  <webPublishing codePage="1252"/>
  <extLst>
    <ext xmlns:x14="http://schemas.microsoft.com/office/spreadsheetml/2009/9/main" uri="{8193D73E-4604-4355-AFF4-8A2333D13BE4}">
      <x14:definedNames>
        <x14:definedName name="TopAvg">
          <x14:argumentDescriptions count="2">
            <x14:argumentDescription index="0">The range that contains the data</x14:argumentDescription>
            <x14:argumentDescription index="1">The value of n</x14:argumentDescription>
          </x14:argumentDescriptions>
        </x14:definedName>
        <x14:definedName name="Среднее_наибольших">
          <x14:argumentDescriptions count="2">
            <x14:argumentDescription index="0">Содержащий данные диапазон</x14:argumentDescription>
            <x14:argumentDescription index="1">Значение n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3" i="1" l="1"/>
  <c r="B9" i="1"/>
  <c r="F2" i="1"/>
  <c r="T7" i="1"/>
  <c r="Q5" i="1"/>
  <c r="I3" i="1"/>
  <c r="I7" i="1"/>
  <c r="T2" i="1"/>
  <c r="M4" i="1"/>
  <c r="I6" i="1"/>
  <c r="B4" i="1"/>
  <c r="Q6" i="1"/>
  <c r="M3" i="1"/>
  <c r="B3" i="1"/>
  <c r="B8" i="1"/>
  <c r="M7" i="1"/>
  <c r="D2" i="1"/>
  <c r="M6" i="1"/>
  <c r="B6" i="1"/>
  <c r="T4" i="1"/>
  <c r="B2" i="1"/>
  <c r="T5" i="1"/>
  <c r="M8" i="1"/>
  <c r="I5" i="1"/>
  <c r="T6" i="1"/>
  <c r="Q3" i="1"/>
  <c r="I4" i="1"/>
  <c r="B7" i="1"/>
  <c r="Q4" i="1"/>
  <c r="T3" i="1"/>
  <c r="I8" i="1"/>
  <c r="B5" i="1"/>
  <c r="M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O1" authorId="0" shapeId="0" xr:uid="{00000000-0006-0000-0000-000001000000}">
      <text>
        <r>
          <rPr>
            <sz val="9"/>
            <color indexed="81"/>
            <rFont val="Calibri"/>
            <family val="2"/>
            <scheme val="minor"/>
          </rPr>
          <t>Assigned to the Math &amp; Trig category</t>
        </r>
      </text>
    </comment>
  </commentList>
</comments>
</file>

<file path=xl/sharedStrings.xml><?xml version="1.0" encoding="utf-8"?>
<sst xmlns="http://schemas.openxmlformats.org/spreadsheetml/2006/main" count="22" uniqueCount="20">
  <si>
    <t>text</t>
  </si>
  <si>
    <t>423-93-9233</t>
  </si>
  <si>
    <t>933-81-0092</t>
  </si>
  <si>
    <t>183-93-3955</t>
  </si>
  <si>
    <t>835-02-8133</t>
  </si>
  <si>
    <t>Знак_числа</t>
  </si>
  <si>
    <t>Пользователь</t>
  </si>
  <si>
    <t>Скажи_это</t>
  </si>
  <si>
    <t>Комиссионные</t>
  </si>
  <si>
    <t>Комиссионные2</t>
  </si>
  <si>
    <t>Продажи</t>
  </si>
  <si>
    <t>Комиссия</t>
  </si>
  <si>
    <t>Стаж</t>
  </si>
  <si>
    <t>Среднее_наибольших</t>
  </si>
  <si>
    <t>Данные</t>
  </si>
  <si>
    <t>Среднее</t>
  </si>
  <si>
    <t>К-во наиб.</t>
  </si>
  <si>
    <t>Выбрать_элемент</t>
  </si>
  <si>
    <t>Линда Миллер</t>
  </si>
  <si>
    <t>Джонатан Смит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</si>
</sst>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&quot;$&quot;#,##0.00"/>
    <numFmt numFmtId="166" formatCode="_(* #,##0_);_(* \(#,##0\);_(* &quot;-&quot;??_);_(@_)"/>
    <numFmt numFmtId="168" formatCode="#,##0.00\ _₽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3"/>
      </patternFill>
    </fill>
    <fill>
      <patternFill patternType="solid">
        <fgColor theme="4"/>
        <bgColor indexed="62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65" fontId="0" fillId="0" borderId="0" xfId="0" applyNumberFormat="1"/>
    <xf numFmtId="0" fontId="2" fillId="0" borderId="0" xfId="0" applyFont="1"/>
    <xf numFmtId="166" fontId="0" fillId="0" borderId="0" xfId="1" applyNumberFormat="1" applyFont="1"/>
    <xf numFmtId="2" fontId="0" fillId="0" borderId="0" xfId="0" applyNumberFormat="1"/>
    <xf numFmtId="0" fontId="1" fillId="0" borderId="0" xfId="0" applyFon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68" fontId="0" fillId="0" borderId="0" xfId="0" applyNumberFormat="1"/>
    <xf numFmtId="0" fontId="5" fillId="4" borderId="1" xfId="0" quotePrefix="1" applyFont="1" applyFill="1" applyBorder="1"/>
    <xf numFmtId="0" fontId="0" fillId="4" borderId="1" xfId="0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3"/>
  <sheetViews>
    <sheetView tabSelected="1" workbookViewId="0">
      <selection activeCell="D17" sqref="D17"/>
    </sheetView>
  </sheetViews>
  <sheetFormatPr defaultRowHeight="15" x14ac:dyDescent="0.25"/>
  <cols>
    <col min="2" max="2" width="16" bestFit="1" customWidth="1"/>
    <col min="3" max="3" width="2.5703125" customWidth="1"/>
    <col min="4" max="4" width="17.5703125" customWidth="1"/>
    <col min="5" max="5" width="2.7109375" customWidth="1"/>
    <col min="6" max="6" width="12.85546875" customWidth="1"/>
    <col min="7" max="7" width="2.42578125" customWidth="1"/>
    <col min="8" max="8" width="10.5703125" bestFit="1" customWidth="1"/>
    <col min="9" max="9" width="10" bestFit="1" customWidth="1"/>
    <col min="10" max="10" width="3" customWidth="1"/>
    <col min="11" max="11" width="10.5703125" bestFit="1" customWidth="1"/>
    <col min="12" max="12" width="7.140625" bestFit="1" customWidth="1"/>
    <col min="13" max="13" width="10.5703125" bestFit="1" customWidth="1"/>
    <col min="14" max="14" width="2.7109375" customWidth="1"/>
    <col min="15" max="15" width="8.7109375" customWidth="1"/>
    <col min="16" max="16" width="10.28515625" customWidth="1"/>
    <col min="17" max="17" width="8.5703125" customWidth="1"/>
    <col min="18" max="18" width="3.140625" customWidth="1"/>
    <col min="19" max="19" width="15.28515625" bestFit="1" customWidth="1"/>
    <col min="20" max="20" width="8.42578125" bestFit="1" customWidth="1"/>
  </cols>
  <sheetData>
    <row r="1" spans="1:21" x14ac:dyDescent="0.25">
      <c r="A1" s="9" t="s">
        <v>5</v>
      </c>
      <c r="B1" s="9"/>
      <c r="D1" s="6" t="s">
        <v>6</v>
      </c>
      <c r="F1" s="7" t="s">
        <v>7</v>
      </c>
      <c r="H1" s="8" t="s">
        <v>8</v>
      </c>
      <c r="I1" s="8"/>
      <c r="K1" s="8" t="s">
        <v>9</v>
      </c>
      <c r="L1" s="8"/>
      <c r="M1" s="8"/>
      <c r="O1" s="8" t="s">
        <v>13</v>
      </c>
      <c r="P1" s="8"/>
      <c r="Q1" s="8"/>
      <c r="S1" s="8" t="s">
        <v>17</v>
      </c>
      <c r="T1" s="8"/>
      <c r="U1" s="8"/>
    </row>
    <row r="2" spans="1:21" x14ac:dyDescent="0.25">
      <c r="A2">
        <v>15</v>
      </c>
      <c r="B2" t="str">
        <f>Знак_числа(A2)</f>
        <v>Положительное</v>
      </c>
      <c r="D2" t="str">
        <f>Пользователь()</f>
        <v>Admin</v>
      </c>
      <c r="F2" s="11" t="str">
        <f>Скажи_это("Hello  " &amp;D2)</f>
        <v xml:space="preserve"> </v>
      </c>
      <c r="H2" s="2" t="s">
        <v>10</v>
      </c>
      <c r="I2" s="2" t="s">
        <v>11</v>
      </c>
      <c r="K2" s="2" t="s">
        <v>10</v>
      </c>
      <c r="L2" s="2" t="s">
        <v>12</v>
      </c>
      <c r="M2" s="2" t="s">
        <v>11</v>
      </c>
      <c r="O2" s="2" t="s">
        <v>14</v>
      </c>
      <c r="P2" s="2" t="s">
        <v>16</v>
      </c>
      <c r="Q2" s="2" t="s">
        <v>15</v>
      </c>
      <c r="S2" t="s">
        <v>1</v>
      </c>
      <c r="T2" t="str">
        <f>Выбрать_элемент(S2,2,"-")</f>
        <v>93</v>
      </c>
    </row>
    <row r="3" spans="1:21" x14ac:dyDescent="0.25">
      <c r="A3">
        <v>-44</v>
      </c>
      <c r="B3" t="str">
        <f t="shared" ref="B3:B9" si="0">Знак_числа(A3)</f>
        <v>Отрицательное</v>
      </c>
      <c r="F3" s="12" t="str">
        <f>IF(SUM(A:A)&gt;1000,Скажи_это("Goal reached"),)</f>
        <v xml:space="preserve"> </v>
      </c>
      <c r="H3" s="10">
        <v>5090</v>
      </c>
      <c r="I3" s="10">
        <f>Комиссионные(H3)</f>
        <v>407.2</v>
      </c>
      <c r="K3" s="10">
        <v>5090</v>
      </c>
      <c r="L3" s="10">
        <v>1</v>
      </c>
      <c r="M3" s="10">
        <f>Комиссионные2(K3,L3)</f>
        <v>411.27199999999999</v>
      </c>
      <c r="O3">
        <v>977</v>
      </c>
      <c r="P3" s="3">
        <v>5</v>
      </c>
      <c r="Q3" s="4">
        <f>Среднее_наибольших(Данные,P3)</f>
        <v>905.8</v>
      </c>
      <c r="S3" t="s">
        <v>2</v>
      </c>
      <c r="T3" t="str">
        <f t="shared" ref="T3:T5" si="1">Выбрать_элемент(S3,2,"-")</f>
        <v>81</v>
      </c>
    </row>
    <row r="4" spans="1:21" x14ac:dyDescent="0.25">
      <c r="A4">
        <v>0</v>
      </c>
      <c r="B4" t="str">
        <f t="shared" si="0"/>
        <v>Нуль</v>
      </c>
      <c r="H4" s="10">
        <v>9833</v>
      </c>
      <c r="I4" s="10">
        <f t="shared" ref="I4:I8" si="2">Комиссионные(H4)</f>
        <v>786.64</v>
      </c>
      <c r="K4" s="10">
        <v>9833</v>
      </c>
      <c r="L4" s="10">
        <v>3</v>
      </c>
      <c r="M4" s="10">
        <f t="shared" ref="M4:M8" si="3">Комиссионные2(K4,L4)</f>
        <v>810.23919999999998</v>
      </c>
      <c r="O4">
        <v>966</v>
      </c>
      <c r="P4" s="3">
        <v>10</v>
      </c>
      <c r="Q4" s="4">
        <f>Среднее_наибольших(Данные,P4)</f>
        <v>813.1</v>
      </c>
      <c r="S4" t="s">
        <v>3</v>
      </c>
      <c r="T4" t="str">
        <f t="shared" si="1"/>
        <v>93</v>
      </c>
    </row>
    <row r="5" spans="1:21" x14ac:dyDescent="0.25">
      <c r="A5">
        <v>43</v>
      </c>
      <c r="B5" t="str">
        <f t="shared" si="0"/>
        <v>Положительное</v>
      </c>
      <c r="H5" s="10">
        <v>12093</v>
      </c>
      <c r="I5" s="10">
        <f t="shared" si="2"/>
        <v>1269.7649999999999</v>
      </c>
      <c r="K5" s="10">
        <v>12093</v>
      </c>
      <c r="L5" s="10">
        <v>5</v>
      </c>
      <c r="M5" s="10">
        <f t="shared" si="3"/>
        <v>1333.2532499999998</v>
      </c>
      <c r="O5">
        <v>943</v>
      </c>
      <c r="P5" s="3">
        <v>1</v>
      </c>
      <c r="Q5" s="4">
        <f>Среднее_наибольших(Данные,P5)</f>
        <v>977</v>
      </c>
      <c r="S5" t="s">
        <v>4</v>
      </c>
      <c r="T5" t="str">
        <f t="shared" si="1"/>
        <v>02</v>
      </c>
    </row>
    <row r="6" spans="1:21" x14ac:dyDescent="0.25">
      <c r="A6">
        <v>6</v>
      </c>
      <c r="B6" t="str">
        <f t="shared" si="0"/>
        <v>Положительное</v>
      </c>
      <c r="H6" s="10">
        <v>24091</v>
      </c>
      <c r="I6" s="10">
        <f t="shared" si="2"/>
        <v>2890.92</v>
      </c>
      <c r="K6" s="10">
        <v>24091</v>
      </c>
      <c r="L6" s="10">
        <v>2</v>
      </c>
      <c r="M6" s="10">
        <f t="shared" si="3"/>
        <v>2948.7384000000002</v>
      </c>
      <c r="O6">
        <v>824</v>
      </c>
      <c r="P6" s="3">
        <v>21</v>
      </c>
      <c r="Q6" s="4">
        <f>Среднее_наибольших(Данные,P6)</f>
        <v>616.95238095238096</v>
      </c>
      <c r="S6" t="s">
        <v>19</v>
      </c>
      <c r="T6" t="str">
        <f>Выбрать_элемент(S6,2," ")</f>
        <v>Смит</v>
      </c>
    </row>
    <row r="7" spans="1:21" x14ac:dyDescent="0.25">
      <c r="A7" t="s">
        <v>0</v>
      </c>
      <c r="B7" t="str">
        <f t="shared" si="0"/>
        <v/>
      </c>
      <c r="H7" s="10">
        <v>55090</v>
      </c>
      <c r="I7" s="10">
        <f t="shared" si="2"/>
        <v>7712.6</v>
      </c>
      <c r="K7" s="10">
        <v>55090</v>
      </c>
      <c r="L7" s="10">
        <v>8</v>
      </c>
      <c r="M7" s="10">
        <f t="shared" si="3"/>
        <v>8329.6080000000002</v>
      </c>
      <c r="O7">
        <v>819</v>
      </c>
      <c r="P7" s="1"/>
      <c r="S7" t="s">
        <v>18</v>
      </c>
      <c r="T7" t="str">
        <f>Выбрать_элемент(S7,2," ")</f>
        <v>Миллер</v>
      </c>
    </row>
    <row r="8" spans="1:21" x14ac:dyDescent="0.25">
      <c r="A8">
        <v>-0.43</v>
      </c>
      <c r="B8" t="str">
        <f t="shared" si="0"/>
        <v>Отрицательное</v>
      </c>
      <c r="H8" s="10">
        <v>68721</v>
      </c>
      <c r="I8" s="10">
        <f t="shared" si="2"/>
        <v>9620.94</v>
      </c>
      <c r="K8" s="10">
        <v>68721</v>
      </c>
      <c r="L8" s="10">
        <v>12</v>
      </c>
      <c r="M8" s="10">
        <f t="shared" si="3"/>
        <v>10775.452800000001</v>
      </c>
      <c r="O8">
        <v>802</v>
      </c>
      <c r="P8" s="1"/>
      <c r="S8" s="5"/>
    </row>
    <row r="9" spans="1:21" x14ac:dyDescent="0.25">
      <c r="A9">
        <v>10000</v>
      </c>
      <c r="B9" t="str">
        <f t="shared" si="0"/>
        <v>Положительное</v>
      </c>
      <c r="O9">
        <v>743</v>
      </c>
      <c r="S9" s="5"/>
    </row>
    <row r="10" spans="1:21" x14ac:dyDescent="0.25">
      <c r="O10">
        <v>712</v>
      </c>
    </row>
    <row r="11" spans="1:21" x14ac:dyDescent="0.25">
      <c r="O11">
        <v>675</v>
      </c>
    </row>
    <row r="12" spans="1:21" x14ac:dyDescent="0.25">
      <c r="O12">
        <v>670</v>
      </c>
    </row>
    <row r="13" spans="1:21" x14ac:dyDescent="0.25">
      <c r="O13">
        <v>633</v>
      </c>
    </row>
    <row r="14" spans="1:21" x14ac:dyDescent="0.25">
      <c r="O14">
        <v>617</v>
      </c>
    </row>
    <row r="15" spans="1:21" x14ac:dyDescent="0.25">
      <c r="O15">
        <v>617</v>
      </c>
    </row>
    <row r="16" spans="1:21" x14ac:dyDescent="0.25">
      <c r="O16">
        <v>600</v>
      </c>
    </row>
    <row r="17" spans="15:15" x14ac:dyDescent="0.25">
      <c r="O17">
        <v>557</v>
      </c>
    </row>
    <row r="18" spans="15:15" x14ac:dyDescent="0.25">
      <c r="O18">
        <v>531</v>
      </c>
    </row>
    <row r="19" spans="15:15" x14ac:dyDescent="0.25">
      <c r="O19">
        <v>487</v>
      </c>
    </row>
    <row r="20" spans="15:15" x14ac:dyDescent="0.25">
      <c r="O20">
        <v>327</v>
      </c>
    </row>
    <row r="21" spans="15:15" x14ac:dyDescent="0.25">
      <c r="O21">
        <v>291</v>
      </c>
    </row>
    <row r="22" spans="15:15" x14ac:dyDescent="0.25">
      <c r="O22">
        <v>128</v>
      </c>
    </row>
    <row r="23" spans="15:15" x14ac:dyDescent="0.25">
      <c r="O23">
        <v>37</v>
      </c>
    </row>
  </sheetData>
  <mergeCells count="5">
    <mergeCell ref="K1:M1"/>
    <mergeCell ref="H1:I1"/>
    <mergeCell ref="A1:B1"/>
    <mergeCell ref="O1:Q1"/>
    <mergeCell ref="S1:U1"/>
  </mergeCells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2006-11-13T18:33:19Z</outs:dateTime>
      <outs:isPinned>true</outs:isPinned>
    </outs:relatedDate>
    <outs:relatedDate>
      <outs:type>2</outs:type>
      <outs:displayName>Created</outs:displayName>
      <outs:dateTime>1997-02-07T01:47:28Z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336FEEF-B352-460A-BEBF-EDA9E87A470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Данные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functions.xlsm</dc:title>
  <dc:subject>Example File</dc:subject>
  <dc:creator>John Walkenbach</dc:creator>
  <cp:keywords> </cp:keywords>
  <dc:description>©2015, John Walkenbach. All Rights Reserved.</dc:description>
  <cp:lastModifiedBy>Admin</cp:lastModifiedBy>
  <dcterms:created xsi:type="dcterms:W3CDTF">1997-02-07T01:47:28Z</dcterms:created>
  <dcterms:modified xsi:type="dcterms:W3CDTF">2019-03-19T15:25:46Z</dcterms:modified>
  <cp:category>Excel 2016 Bible</cp:category>
</cp:coreProperties>
</file>